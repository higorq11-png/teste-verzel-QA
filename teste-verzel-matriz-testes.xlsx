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\Documents\Programming\Verzel\Teste Técnico - Verzel Store\"/>
    </mc:Choice>
  </mc:AlternateContent>
  <xr:revisionPtr revIDLastSave="0" documentId="13_ncr:1_{9B3F30DC-67AA-4304-B1E7-E0A1ADDCE1C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sos UI" sheetId="1" r:id="rId1"/>
    <sheet name="Casos API" sheetId="2" r:id="rId2"/>
    <sheet name="Dados de Teste" sheetId="3" r:id="rId3"/>
    <sheet name="Resumo" sheetId="4" r:id="rId4"/>
    <sheet name="Rastreabilidade" sheetId="5" r:id="rId5"/>
    <sheet name="BUG REPORT" sheetId="6" r:id="rId6"/>
  </sheets>
  <definedNames>
    <definedName name="_xlnm._FilterDatabase" localSheetId="2" hidden="1">'Dados de Teste'!$A$1:$E$20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9" i="4"/>
  <c r="B8" i="4"/>
  <c r="B7" i="4"/>
  <c r="B6" i="4"/>
</calcChain>
</file>

<file path=xl/sharedStrings.xml><?xml version="1.0" encoding="utf-8"?>
<sst xmlns="http://schemas.openxmlformats.org/spreadsheetml/2006/main" count="709" uniqueCount="397">
  <si>
    <t>ID</t>
  </si>
  <si>
    <t>Cenário</t>
  </si>
  <si>
    <t>Requisito</t>
  </si>
  <si>
    <t>Prioridade</t>
  </si>
  <si>
    <t>BDD</t>
  </si>
  <si>
    <t>Status</t>
  </si>
  <si>
    <t>Evidência</t>
  </si>
  <si>
    <t>Bug</t>
  </si>
  <si>
    <t>CT-001</t>
  </si>
  <si>
    <t>Cupom válido</t>
  </si>
  <si>
    <t>Aplicar BEMVINDO10</t>
  </si>
  <si>
    <t>CA01</t>
  </si>
  <si>
    <t>Alta</t>
  </si>
  <si>
    <t>CT-002</t>
  </si>
  <si>
    <t>Aplicar bemvindo10 em minúsculas</t>
  </si>
  <si>
    <t>CA02</t>
  </si>
  <si>
    <t>CT-003</t>
  </si>
  <si>
    <t>Aplicar BemVindo10 em caixa mista</t>
  </si>
  <si>
    <t>Média</t>
  </si>
  <si>
    <t>CT-004</t>
  </si>
  <si>
    <t>Aplicar BEMVINDO10 com espaços</t>
  </si>
  <si>
    <t>CT-005</t>
  </si>
  <si>
    <t>Cupom inválido</t>
  </si>
  <si>
    <t>Aplicar cupom inexistente</t>
  </si>
  <si>
    <t>CA03</t>
  </si>
  <si>
    <t>CT-006</t>
  </si>
  <si>
    <t>Cupom expirado</t>
  </si>
  <si>
    <t>Aplicar VERAO2026</t>
  </si>
  <si>
    <t>CA04</t>
  </si>
  <si>
    <t>CT-007</t>
  </si>
  <si>
    <t>Múltiplos cupons</t>
  </si>
  <si>
    <t>Tentar aplicar segundo cupom sem remover o atual</t>
  </si>
  <si>
    <t>CA05</t>
  </si>
  <si>
    <t>CT-008</t>
  </si>
  <si>
    <t>Remover cupom atual antes de aplicar outro</t>
  </si>
  <si>
    <t>CT-009</t>
  </si>
  <si>
    <t>Frete</t>
  </si>
  <si>
    <t>Subtotal abaixo do limite — R$199,90</t>
  </si>
  <si>
    <t>CA06/CA07</t>
  </si>
  <si>
    <t>CT-010</t>
  </si>
  <si>
    <t>Subtotal exatamente no limite — R$200,00</t>
  </si>
  <si>
    <t>CA06</t>
  </si>
  <si>
    <t>Crítica</t>
  </si>
  <si>
    <t>CT-011</t>
  </si>
  <si>
    <t>Menor subtotal alcançável acima de R$200,00 — R$209,40</t>
  </si>
  <si>
    <t>CT-012</t>
  </si>
  <si>
    <t>Informar quanto falta para frete grátis</t>
  </si>
  <si>
    <t>CA07</t>
  </si>
  <si>
    <t>CT-013</t>
  </si>
  <si>
    <t>Frete + cupom</t>
  </si>
  <si>
    <t>Frete usa subtotal antes do desconto</t>
  </si>
  <si>
    <t>CA08</t>
  </si>
  <si>
    <t>CT-014</t>
  </si>
  <si>
    <t>Cupom não desconta o frete</t>
  </si>
  <si>
    <t>CA09</t>
  </si>
  <si>
    <t>CT-015</t>
  </si>
  <si>
    <t>Quantidade</t>
  </si>
  <si>
    <t>Comprar 1 unidade</t>
  </si>
  <si>
    <t>CA10</t>
  </si>
  <si>
    <t>CT-016</t>
  </si>
  <si>
    <t>Comprar 5 unidades</t>
  </si>
  <si>
    <t>CT-017</t>
  </si>
  <si>
    <t>Comprar 6 unidades</t>
  </si>
  <si>
    <t>CT-018</t>
  </si>
  <si>
    <t>Arredondamento</t>
  </si>
  <si>
    <t>Validar valores com 2 casas decimais</t>
  </si>
  <si>
    <t>CA11</t>
  </si>
  <si>
    <t>Endpoint</t>
  </si>
  <si>
    <t>HTTP Esperado</t>
  </si>
  <si>
    <t>Código Esperado</t>
  </si>
  <si>
    <t>API-001</t>
  </si>
  <si>
    <t>API Produtos</t>
  </si>
  <si>
    <t>GET /api/produtos</t>
  </si>
  <si>
    <t>200</t>
  </si>
  <si>
    <t>API-002</t>
  </si>
  <si>
    <t>Consultar produto existente</t>
  </si>
  <si>
    <t>GET /api/produtos/{id}</t>
  </si>
  <si>
    <t>API-003</t>
  </si>
  <si>
    <t>Consultar produto inexistente</t>
  </si>
  <si>
    <t>404</t>
  </si>
  <si>
    <t>PRODUTO_NAO_ENCONTRADO</t>
  </si>
  <si>
    <t>Quando o produto consultado não existe.</t>
  </si>
  <si>
    <t>API-004</t>
  </si>
  <si>
    <t>API Carrinho</t>
  </si>
  <si>
    <t>Campo itens ausente</t>
  </si>
  <si>
    <t>POST /api/carrinho/calcular</t>
  </si>
  <si>
    <t>422</t>
  </si>
  <si>
    <t>ITENS_OBRIGATORIOS</t>
  </si>
  <si>
    <t>Quando o body não possui o campo itens.</t>
  </si>
  <si>
    <t>API-005</t>
  </si>
  <si>
    <t>Campo itens vazio</t>
  </si>
  <si>
    <t>Quando o campo itens está vazio.</t>
  </si>
  <si>
    <t>API-006</t>
  </si>
  <si>
    <t>Item inválido</t>
  </si>
  <si>
    <t>ITEM_INVALIDO</t>
  </si>
  <si>
    <t>Quando um item não é um objeto ou não possui productId/quantity.</t>
  </si>
  <si>
    <t>API-007</t>
  </si>
  <si>
    <t>Produto inexistente no item</t>
  </si>
  <si>
    <t>Quando um productId informado em um item não existe.</t>
  </si>
  <si>
    <t>API-008</t>
  </si>
  <si>
    <t>Produto duplicado</t>
  </si>
  <si>
    <t>ITEM_DUPLICADO</t>
  </si>
  <si>
    <t>Quando o mesmo produto aparece mais de uma vez nos itens.</t>
  </si>
  <si>
    <t>API-009</t>
  </si>
  <si>
    <t>Quantidade inválida</t>
  </si>
  <si>
    <t>QUANTIDADE_INVALIDA</t>
  </si>
  <si>
    <t>Quando quantity não é inteiro ou é menor que 1.</t>
  </si>
  <si>
    <t>API-010</t>
  </si>
  <si>
    <t>Quantidade acima do máximo</t>
  </si>
  <si>
    <t>QUANTIDADE_MAXIMA_EXCEDIDA</t>
  </si>
  <si>
    <t>Quando a quantidade de um produto é maior que 5.</t>
  </si>
  <si>
    <t>API-011</t>
  </si>
  <si>
    <t>API Pedido</t>
  </si>
  <si>
    <t>Criar pedido válido</t>
  </si>
  <si>
    <t>POST /api/pedidos</t>
  </si>
  <si>
    <t>201</t>
  </si>
  <si>
    <t>API-012</t>
  </si>
  <si>
    <t>Nome fora do padrão</t>
  </si>
  <si>
    <t>DADOS_INVALIDOS</t>
  </si>
  <si>
    <t>Quando os dados do cliente são inválidos. Os campos inválidos são detalhados em campos.</t>
  </si>
  <si>
    <t>API-013</t>
  </si>
  <si>
    <t>API-014</t>
  </si>
  <si>
    <t>E-mail fora do formato</t>
  </si>
  <si>
    <t>API-015</t>
  </si>
  <si>
    <t>API-016</t>
  </si>
  <si>
    <t>CEP com 8 dígitos sem hífen</t>
  </si>
  <si>
    <t>API-017</t>
  </si>
  <si>
    <t>CEP com 8 dígitos e hífen</t>
  </si>
  <si>
    <t>API-018</t>
  </si>
  <si>
    <t>CEP fora do padrão de 8 dígitos</t>
  </si>
  <si>
    <t>API-019</t>
  </si>
  <si>
    <t>Cupom inexistente no pedido</t>
  </si>
  <si>
    <t>CUPOM_INVALIDO</t>
  </si>
  <si>
    <t>Quando o cupom informado não existe.</t>
  </si>
  <si>
    <t>API-020</t>
  </si>
  <si>
    <t>Cupom expirado no pedido</t>
  </si>
  <si>
    <t>CUPOM_EXPIRADO</t>
  </si>
  <si>
    <t>Quando o cupom informado está expirado.</t>
  </si>
  <si>
    <t>API-021</t>
  </si>
  <si>
    <t>API Geral</t>
  </si>
  <si>
    <t>Método HTTP não permitido</t>
  </si>
  <si>
    <t>API</t>
  </si>
  <si>
    <t>405</t>
  </si>
  <si>
    <t>METODO_NAO_PERMITIDO</t>
  </si>
  <si>
    <t>Quando o método HTTP utilizado não é permitido para a rota.</t>
  </si>
  <si>
    <t>API-022</t>
  </si>
  <si>
    <t>Rota inexistente</t>
  </si>
  <si>
    <t>ROTA_NAO_ENCONTRADA</t>
  </si>
  <si>
    <t>Quando a rota solicitada não existe.</t>
  </si>
  <si>
    <t>JSON inválido</t>
  </si>
  <si>
    <t>400</t>
  </si>
  <si>
    <t>JSON_INVALIDO</t>
  </si>
  <si>
    <t>Quando o body não é um objeto JSON válido.</t>
  </si>
  <si>
    <t>Tipo</t>
  </si>
  <si>
    <t>Dado</t>
  </si>
  <si>
    <t>Valor</t>
  </si>
  <si>
    <t>Observação</t>
  </si>
  <si>
    <t>Casos relacionados</t>
  </si>
  <si>
    <t>Produto</t>
  </si>
  <si>
    <t>P001</t>
  </si>
  <si>
    <t>Camiseta Essencial</t>
  </si>
  <si>
    <t>R$ 59,90</t>
  </si>
  <si>
    <t>CT-011, CT-015, CT-016, CT-017, CT-018, API-002, API-008, API-009, API-010, API-011</t>
  </si>
  <si>
    <t>P002</t>
  </si>
  <si>
    <t>Calça Jeans Slim</t>
  </si>
  <si>
    <t>R$ 139,90</t>
  </si>
  <si>
    <t>P003</t>
  </si>
  <si>
    <t>Tênis Casual Urbano</t>
  </si>
  <si>
    <t>R$ 189,90</t>
  </si>
  <si>
    <t>API-001, API-002, API-011</t>
  </si>
  <si>
    <t>P004</t>
  </si>
  <si>
    <t>Boné Aba Curva</t>
  </si>
  <si>
    <t>R$ 49,90</t>
  </si>
  <si>
    <t>CT-009, CT-012, CT-014</t>
  </si>
  <si>
    <t>P005</t>
  </si>
  <si>
    <t>Mochila Urbana 20L</t>
  </si>
  <si>
    <t>R$ 100,00</t>
  </si>
  <si>
    <t>CT-009, CT-010, CT-012, CT-013, CT-014</t>
  </si>
  <si>
    <t>P006</t>
  </si>
  <si>
    <t>Kit 3 Pares de Meias</t>
  </si>
  <si>
    <t>R$ 29,90</t>
  </si>
  <si>
    <t>P007</t>
  </si>
  <si>
    <t>Jaqueta Corta-Vento</t>
  </si>
  <si>
    <t>R$ 229,90</t>
  </si>
  <si>
    <t>P008</t>
  </si>
  <si>
    <t>Garrafa Térmica 750ml</t>
  </si>
  <si>
    <t>R$ 50,00</t>
  </si>
  <si>
    <t>Cupom</t>
  </si>
  <si>
    <t>BEMVINDO10</t>
  </si>
  <si>
    <t>10% de desconto</t>
  </si>
  <si>
    <t>Válido</t>
  </si>
  <si>
    <t>CT-001, CT-002, CT-003, CT-004, CT-007, CT-008, CT-013, CT-014, API-011</t>
  </si>
  <si>
    <t>VERAO2026</t>
  </si>
  <si>
    <t>15% de desconto</t>
  </si>
  <si>
    <t>Expirado em 31/03/2026</t>
  </si>
  <si>
    <t>CT-006, API-020</t>
  </si>
  <si>
    <t>Cliente</t>
  </si>
  <si>
    <t>Nome válido</t>
  </si>
  <si>
    <t>Primeiro + sobrenome</t>
  </si>
  <si>
    <t>Nome inválido</t>
  </si>
  <si>
    <t>Sem sobrenome</t>
  </si>
  <si>
    <t>E-mail válido</t>
  </si>
  <si>
    <t>Formato válido</t>
  </si>
  <si>
    <t>API-011, API-015</t>
  </si>
  <si>
    <t>E-mail inválido</t>
  </si>
  <si>
    <t>Formato inválido</t>
  </si>
  <si>
    <t>CEP válido</t>
  </si>
  <si>
    <t>8 dígitos sem hífen</t>
  </si>
  <si>
    <t>8 dígitos com hífen</t>
  </si>
  <si>
    <t>CEP inválido</t>
  </si>
  <si>
    <t>Quantidade diferente de 8 dígitos</t>
  </si>
  <si>
    <t>Regra</t>
  </si>
  <si>
    <t>R$ 0,00 a partir de R$ 200,00</t>
  </si>
  <si>
    <t>Subtotal antes do cupom</t>
  </si>
  <si>
    <t>CT-010, CT-011, CT-013</t>
  </si>
  <si>
    <t>Frete abaixo do limite</t>
  </si>
  <si>
    <t>R$ 19,90</t>
  </si>
  <si>
    <t>Subtotal abaixo de R$ 200,00</t>
  </si>
  <si>
    <t>Métrica</t>
  </si>
  <si>
    <t>Total de casos UI</t>
  </si>
  <si>
    <t>UI — Não executado</t>
  </si>
  <si>
    <t>UI — Passou</t>
  </si>
  <si>
    <t>UI — Falhou</t>
  </si>
  <si>
    <t>Total de casos API</t>
  </si>
  <si>
    <t>API — Não executado</t>
  </si>
  <si>
    <t>API — Passou</t>
  </si>
  <si>
    <t>API — Falhou</t>
  </si>
  <si>
    <t>CT-002, CT-003, CT-004</t>
  </si>
  <si>
    <t>CT-007, CT-008</t>
  </si>
  <si>
    <t>CT-010, CT-011</t>
  </si>
  <si>
    <t>CT-015, CT-016, CT-017</t>
  </si>
  <si>
    <t>API-002, API-003</t>
  </si>
  <si>
    <t>API-004, API-005, API-006, API-007, API-008, API-009, API-010</t>
  </si>
  <si>
    <t>PASSOU</t>
  </si>
  <si>
    <t>FALHOU</t>
  </si>
  <si>
    <t>BUG-001</t>
  </si>
  <si>
    <t>Evidências</t>
  </si>
  <si>
    <t xml:space="preserve">https://app.screencast.com/DdtKefTQgSBP7 </t>
  </si>
  <si>
    <t>https://app.screencast.com/SccQXVjcV24Fw</t>
  </si>
  <si>
    <t xml:space="preserve">https://app.screencast.com/Bd4BoaXnwXWh1 </t>
  </si>
  <si>
    <t>https://app.screencast.com/8cq2fqjqa7bsJ</t>
  </si>
  <si>
    <t>https://app.screencast.com/15HYIh8tFWwV8</t>
  </si>
  <si>
    <t>https://app.screencast.com/yFmZsrepttKUz</t>
  </si>
  <si>
    <t>https://app.screencast.com/nI4xgC2rDjEt0</t>
  </si>
  <si>
    <t>https://app.screencast.com/VMNx4KlkYcVbV</t>
  </si>
  <si>
    <t>https://app.screencast.com/wmkNGis0cHCRP</t>
  </si>
  <si>
    <t>https://app.screencast.com/e9LXYrk7GHpKE</t>
  </si>
  <si>
    <t>https://app.screencast.com/lLfxb0fQOAdBE</t>
  </si>
  <si>
    <t>https://app.screencast.com/4iQubZMNpkV2X</t>
  </si>
  <si>
    <t>https://app.screencast.com/LFMtWukxjNsjZ</t>
  </si>
  <si>
    <t>https://app.screencast.com/EhFaEAGpSqJTL</t>
  </si>
  <si>
    <t>https://app.screencast.com/aIZ3QypwoW9Q8</t>
  </si>
  <si>
    <t>https://app.screencast.com/4ttr3g0DKFsAZ</t>
  </si>
  <si>
    <t>https://app.screencast.com/Ji3KM5ee8BOpX</t>
  </si>
  <si>
    <t>BUG-002</t>
  </si>
  <si>
    <t>https://app.screencast.com/w5azZERlnBzlz</t>
  </si>
  <si>
    <t>https://app.screencast.com/gZXmvI3dEp7Nl</t>
  </si>
  <si>
    <t>https://app.screencast.com/7yMmQ6I7ml7E9</t>
  </si>
  <si>
    <t>https://app.screencast.com/6Hj97eTYwjgT3</t>
  </si>
  <si>
    <t>https://app.screencast.com/unmDF8x89sLGo</t>
  </si>
  <si>
    <t>https://app.screencast.com/sDyR3DqTZplBL</t>
  </si>
  <si>
    <t>https://app.screencast.com/iPjAYTXsvtWtI</t>
  </si>
  <si>
    <t>E-mail em formato válido, nome em branco</t>
  </si>
  <si>
    <t>https://app.screencast.com/Z1sfQRp2GiBQr</t>
  </si>
  <si>
    <t>https://app.screencast.com/WxVOXWwrfA7g8</t>
  </si>
  <si>
    <t>https://app.screencast.com/bOyvYcfpBYfcr</t>
  </si>
  <si>
    <t>https://app.screencast.com/tFIjkDo6UYkAW</t>
  </si>
  <si>
    <t>https://app.screencast.com/qXBbNFbYD4ytq</t>
  </si>
  <si>
    <t>https://app.screencast.com/IBDR55IpBWlBC</t>
  </si>
  <si>
    <t>https://app.screencast.com/43jjN9qY9MKfi</t>
  </si>
  <si>
    <t>https://app.screencast.com/w7Tnk7Pr4qOnr</t>
  </si>
  <si>
    <t>https://app.screencast.com/4hHRIaREeV4g8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</si>
  <si>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com produtos válidos;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aplicar 10% de desconto sobre o subtotal.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</si>
  <si>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 com espaços antes/depois;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e aplicar 10%.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</si>
  <si>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cupom aplicado;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tentar aplicar outro sem remover o atual;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não permitir dois cupons simultaneamente.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</si>
  <si>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R$209,40 (P001 x1 + P006 x5);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conceder frete grátis.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</si>
  <si>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abaixo de R$200,00;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visualizar o carrinho;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informar R$200,00 menos o subtotal como valor restante.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</si>
  <si>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abaixo de R$200,00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cupom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descontar somente o subtotal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manter frete de R$19,90.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</si>
  <si>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cupom aplicado;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removê-lo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aplicar outro;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processar o segundo conforme sua validade.</t>
    </r>
  </si>
  <si>
    <t xml:space="preserve">Cupom válido 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</si>
  <si>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aplicar 10%.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</si>
  <si>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um cupom inexistente;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exibir 'Cupom inválido.'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não aplicar desconto.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</si>
  <si>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VERAO2026, expirado em 31/03/2026;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exibir 'Cupom expirado.'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não aplicar desconto.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</si>
  <si>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R$199,90;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 total;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cobrar frete de R$19,90.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</si>
  <si>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exatamente R$200,00;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conceder frete grátis.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</si>
  <si>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elegível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um cupom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o cupom;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manter frete grátis com base no subtotal antes do desconto.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</si>
  <si>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produto disponível;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adicionar 1 unidade;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aceitar a quantidade.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</si>
  <si>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produto disponível;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adicionar 5 unidades;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aceitar a quantidade.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</si>
  <si>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produto disponível;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tentar adicionar 6 unidades;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impedir a operação.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</si>
  <si>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com cálculo monetário;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subtotal, desconto, frete e total devem possuir 2 casas decimais.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</si>
  <si>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o endpoint de produtos;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realizar GET;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200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 lista de produtos.</t>
    </r>
  </si>
  <si>
    <t>Listar produtos com sucesso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</si>
  <si>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productId existente;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realizar GET;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200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os dados do produto.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</si>
  <si>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productId inexistente;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realizar GET;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404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PRODUTO_NAO_ENCONTRADO.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</si>
  <si>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body sem o campo itens;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ITENS_OBRIGATORIOS.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</si>
  <si>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body com itens vazio;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ITENS_OBRIGATORIOS.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</si>
  <si>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item que não possui os campos que caracterizam objeto;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ITEM_INVALIDO.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</si>
  <si>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item com produtoId inexistente;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PRODUTO_NAO_ENCONTRADO.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</si>
  <si>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o mesmo produtoId em mais de um item;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ITEM_DUPLICADO.</t>
    </r>
  </si>
  <si>
    <t>Funcionalidade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</si>
  <si>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quantidade não inteiro ou menor que 1;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QUANTIDADE_INVALIDA.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</si>
  <si>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quantity maior que 5;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QUANTIDADE_MAXIMA_EXCEDIDA.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</si>
  <si>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cliente, itens e cupom válidos;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201;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retornar número de pedido no formato VZ-000000;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retornar o resumo do cálculo.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</si>
  <si>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e-mail inválido;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rejeitar os dados e informar o campo inválido.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</si>
  <si>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e-mail válido e o nome em branco;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rejeitar os dados do cliente.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</si>
  <si>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CEP com 8 dígitos sem hífen;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aceitar os dados do cliente.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</si>
  <si>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CEP no formato 12345-678;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aceitar os dados do cliente.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</si>
  <si>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CEP com quantidade diferente de 8 dígitos;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rejeitar os dados e informar o campo inválido.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</si>
  <si>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cupom inexistente;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CUPOM_INVALIDO.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</si>
  <si>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o cupom VERAO2026 expirado em 31/03/2026;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422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CUPOM_EXPIRADO.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</si>
  <si>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endpoint;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utilizar um método HTTP não permitido;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405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METODO_NAO_PERMITIDO.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</si>
  <si>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uma rota inexistente;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realizar a requisição;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404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ROTA_NAO_ENCONTRADA.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</si>
  <si>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body que não é um objeto JSON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realizar a requisição;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retornar HTTP 400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o código JSON_INVALIDO.</t>
    </r>
  </si>
  <si>
    <t>Zé do Caixão</t>
  </si>
  <si>
    <t xml:space="preserve">Zé </t>
  </si>
  <si>
    <t>zedasilva@email.com</t>
  </si>
  <si>
    <t>12345-678</t>
  </si>
  <si>
    <t>123453-678</t>
  </si>
  <si>
    <t>Quando os dados do cliente são inválidos. Os campos inválidos são detalhados por mensagem.</t>
  </si>
  <si>
    <t>Quando todas as informações são preeenchidas corretamente.</t>
  </si>
  <si>
    <t>OK</t>
  </si>
  <si>
    <t>Created</t>
  </si>
  <si>
    <t>Quando um CEP com 8 dígitos sem hífen é informado.</t>
  </si>
  <si>
    <t>Quando um CEP com 8 dígitos com hífen é informado.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</si>
  <si>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aplicar 10% de desconto sobre o subtotal.</t>
    </r>
  </si>
  <si>
    <t>https://app.screencast.com/DdtKefTQgSBP7?conversation=U7Iwx6MTDOK5hn1OmfvoIN</t>
  </si>
  <si>
    <t>https://app.screencast.com/tVrkiy6X0VewA</t>
  </si>
  <si>
    <t>CT-001, CT-002, CT-003, CT-004, CT-005, CT-006, CT-007, CT-008, API-001, API-002, API-011, API-018, API-019</t>
  </si>
  <si>
    <t>API-011, API-014</t>
  </si>
  <si>
    <t>API-011, API-012, API-013, API-014, API-015, API-016, API-017, API-018, API-019</t>
  </si>
  <si>
    <t>API-020, API-021, API-022</t>
  </si>
  <si>
    <t>zedasilvaemail.com</t>
  </si>
  <si>
    <t>BUG</t>
  </si>
  <si>
    <t>Descrição</t>
  </si>
  <si>
    <t>Steps</t>
  </si>
  <si>
    <t>Plataformas</t>
  </si>
  <si>
    <t>URL</t>
  </si>
  <si>
    <t>Resultado Esperado</t>
  </si>
  <si>
    <t>Ao adicionar items no carrinho que totalizam exatamente R$200,00 o benefício de frete gratis não é concedido, sendo que deveria.</t>
  </si>
  <si>
    <t>Acessei a página de produtos;
Adicionei o item Mochila Urbana 20L;
Acessei a página do carrinho;
Alterei a quantidade para 2;
Apareceu a mensagem “Faltam R$0,00 para o frete gratis”;
Valor do frete continuou em R$19,90.</t>
  </si>
  <si>
    <t xml:space="preserve">Chrome, Opera GX e Firefox. </t>
  </si>
  <si>
    <t>URL: https://verzel-store.qa-test-verzel-store.workers.dev/</t>
  </si>
  <si>
    <t>https://app.screencast.com/raVXqM0FR2aft</t>
  </si>
  <si>
    <t>BUG-001: O frete gratis não é aplicado quando o subtotal é exatamente R$200,00.</t>
  </si>
  <si>
    <t>BUG-002:  API permite adicionar quantidade superior ao limite de 5 unidades por produto.</t>
  </si>
  <si>
    <t xml:space="preserve">Ao adicionar por meio de uma requisição à API uma quantidade maior que 5 de um mesmo produto, essa quantidade é aceita sendo que o limite deveria ser 5.
Nota: Essa situação só acontece quando a quantidade é configurada diretamente através de uma requisição à API. O limite é corretamente imposto ao escolher a quantidade através da UI. </t>
  </si>
  <si>
    <t>Abri o Postman e configurei uma requisição POST para o endpoint api/carrinho/calcular; 
 Enviei a requisição definindo o produtoId “P001” e a quantidade 10 para o endpoint;
Constatei o Código HTTP 200 e a quantidade aceita;</t>
  </si>
  <si>
    <t>https://app.screencast.com/nnbkJNq2WYJsT</t>
  </si>
  <si>
    <t>API (Postman)</t>
  </si>
  <si>
    <t>URL: https://verzel-store.qa-test-verzel-store.workers.dev/api/carrinho/calcular</t>
  </si>
  <si>
    <t>Severidade</t>
  </si>
  <si>
    <t>Bloqueante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</si>
  <si>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nome sem primeiro e último nome;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criar o pedido;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rejeitar os dados; 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informar o campo inválido.</t>
    </r>
  </si>
  <si>
    <t>Resultado Obtido</t>
  </si>
  <si>
    <t>Um desconto de 10% deve ser aplicado ao subtotal.</t>
  </si>
  <si>
    <t>Não deve ser aplicado desconto.</t>
  </si>
  <si>
    <t>A aplicação de multiplos cupons não deve ser aceita.</t>
  </si>
  <si>
    <t>Segundo cupom deve ser aceito caso seja válido.</t>
  </si>
  <si>
    <t>O valor do frete deve ser cobrado.</t>
  </si>
  <si>
    <t>O frete deve ser grátis.</t>
  </si>
  <si>
    <t>A mensagem com o correto valor faltante para frete grátis deve aparecer.</t>
  </si>
  <si>
    <t>O frete grátis deve ser mantido.</t>
  </si>
  <si>
    <t>Valor do frete deve ser mantido.</t>
  </si>
  <si>
    <t>Quantidade selecionada deve ser aceita.</t>
  </si>
  <si>
    <t>Quantidade requisitada não deve ser aceita.</t>
  </si>
  <si>
    <t>Os valores mostrados devem possuir 2 casas decimais.</t>
  </si>
  <si>
    <t>Conforme esperado.</t>
  </si>
  <si>
    <t>O frete grátis não foi concedido.</t>
  </si>
  <si>
    <t>O valor do frete deve ser R$ 0,00 (Frete Grátis).</t>
  </si>
  <si>
    <r>
      <t xml:space="preserve">A API deve retornar </t>
    </r>
    <r>
      <rPr>
        <sz val="11"/>
        <color rgb="FF303030"/>
        <rFont val="Roboto"/>
      </rPr>
      <t>HTTP 400 Bad Request</t>
    </r>
    <r>
      <rPr>
        <sz val="11"/>
        <color rgb="FF303030"/>
        <rFont val="Roboto"/>
      </rPr>
      <t xml:space="preserve"> com o código de erro </t>
    </r>
    <r>
      <rPr>
        <sz val="10"/>
        <color theme="1"/>
        <rFont val="Arial Unicode MS"/>
        <family val="2"/>
      </rPr>
      <t>QUANTIDADE_MAXIMA_EXCEDIDA</t>
    </r>
    <r>
      <rPr>
        <sz val="11"/>
        <color rgb="FF303030"/>
        <rFont val="Roboto"/>
      </rPr>
      <t>.</t>
    </r>
  </si>
  <si>
    <t>O sistema exibe "Faltam R$ 0,00 para o frete grátis", porém mantém o frete cobrado em R$ 19,90.</t>
  </si>
  <si>
    <t>A API retorna HTTP 200 OK aceitando as 10 unidades e calculando o subtotal normalmente.</t>
  </si>
  <si>
    <t>Pré-condições / Dados de entrada</t>
  </si>
  <si>
    <t>Quando a requisição é aceita e os produtos disponíveis são mostrados corretamente.</t>
  </si>
  <si>
    <t>Quando a requisição é aceita e as informações dos produtos disponíveis são mostrados corretamente.</t>
  </si>
  <si>
    <t>Retornar HTTP 200 OK e uma lista com os produtos disponíveis, contendo os dados previstos no contrato da API.</t>
  </si>
  <si>
    <t>Retornar HTTP 200 OK e os dados do produto correspondente ao ID informado.</t>
  </si>
  <si>
    <t>Retornar HTTP 404 com o código PRODUTO_NAO_ENCONTRADO e a mensagem de erro correspondente.</t>
  </si>
  <si>
    <t>Retornar HTTP 422 com o código ITENS_OBRIGATORIOS e a mensagem informando a ausência do campo itens.</t>
  </si>
  <si>
    <t>Retornar HTTP 422 com o código ITENS_OBRIGATORIOS e a mensagem informando que o campo itens não pode estar vazio.</t>
  </si>
  <si>
    <t>Retornar HTTP 422 com o código ITEM_INVALIDO e a mensagem indicando a estrutura inválida do item ou a ausência de campos obrigatórios.</t>
  </si>
  <si>
    <t>Retornar HTTP 422 com o código PRODUTO_NAO_ENCONTRADO e a mensagem informando que o produto solicitado não existe.</t>
  </si>
  <si>
    <t>Retornar HTTP 422 com o código ITEM_DUPLICADO e a mensagem informando a duplicidade do produto na lista de itens.</t>
  </si>
  <si>
    <t>Retornar HTTP 422 com o código QUANTIDADE_INVALIDA e a mensagem indicando que a quantidade deve ser um inteiro maior ou igual a 1.</t>
  </si>
  <si>
    <t>Retornar HTTP 422 com o código QUANTIDADE_MAXIMA_EXCEDIDA e a mensagem informando que a quantidade máxima permitida é 5 unidades por produto.</t>
  </si>
  <si>
    <t>Retornar HTTP 201 Created, o número do pedido no formato VZ-000000 e o resumo do cálculo, incluindo os valores correspondentes ao pedido criado.</t>
  </si>
  <si>
    <t>Retornar HTTP 422 com o código DADOS_INVALIDOS e indicar o campo de nome inválido por meio da mensagem ou dos detalhes de validação.</t>
  </si>
  <si>
    <t>Retornar HTTP 422 com o código DADOS_INVALIDOS e indicar que o e-mail informado possui formato inválido.</t>
  </si>
  <si>
    <t>Retornar HTTP 422 com o código DADOS_INVALIDOS e indicar que o campo nome é obrigatório.</t>
  </si>
  <si>
    <t>Retornar HTTP 201 Created e criar o pedido aceitando o CEP com 8 dígitos sem hífen.</t>
  </si>
  <si>
    <t>Retornar HTTP 201 Created e criar o pedido aceitando o CEP no formato 12345-678.</t>
  </si>
  <si>
    <t>Retornar HTTP 422 com o código DADOS_INVALIDOS e indicar que o CEP informado possui formato ou quantidade de dígitos inválidos.</t>
  </si>
  <si>
    <t>Retornar HTTP 422 com o código CUPOM_INVALIDO e a mensagem informando que o cupom não existe ou não é válido.</t>
  </si>
  <si>
    <t>Retornar HTTP 422 com o código CUPOM_EXPIRADO e a mensagem informando que o cupom está expirado.</t>
  </si>
  <si>
    <t>Retornar HTTP 405 com o código METODO_NAO_PERMITIDO e a mensagem correspondente ao método HTTP não permitido.</t>
  </si>
  <si>
    <t>Retornar HTTP 404 com o código ROTA_NAO_ENCONTRADA e a mensagem informando que a rota solicitada não existe.</t>
  </si>
  <si>
    <t>Retornar HTTP 400 com o código JSON_INVALIDO e a mensagem informando que o corpo da requisição contém JSON inválido.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</si>
</sst>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03030"/>
      <name val="Roboto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0" borderId="0" xfId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1"/>
  </cellXfs>
  <cellStyles count="2">
    <cellStyle name="Hiperlink" xfId="1" builtinId="8"/>
    <cellStyle name="Normal" xfId="0" builtinId="0"/>
  </cellStyles>
  <dxfs count="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Testes 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64-4D45-9A82-59A7977E97CE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13-443D-94AB-0CB852D5129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13-443D-94AB-0CB852D5129F}"/>
              </c:ext>
            </c:extLst>
          </c:dPt>
          <c:cat>
            <c:strRef>
              <c:f>Resumo!$A$3:$A$5</c:f>
              <c:strCache>
                <c:ptCount val="3"/>
                <c:pt idx="0">
                  <c:v>UI — Não executado</c:v>
                </c:pt>
                <c:pt idx="1">
                  <c:v>UI — Passou</c:v>
                </c:pt>
                <c:pt idx="2">
                  <c:v>UI — Falhou</c:v>
                </c:pt>
              </c:strCache>
            </c:strRef>
          </c:cat>
          <c:val>
            <c:numRef>
              <c:f>Resumo!$B$3:$B$5</c:f>
              <c:numCache>
                <c:formatCode>General</c:formatCode>
                <c:ptCount val="3"/>
                <c:pt idx="0">
                  <c:v>0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3-443D-94AB-0CB852D5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Testes API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4-4366-A3EE-C528234848A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1A-4966-B956-351E3D419C9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1A-4966-B956-351E3D419C9D}"/>
              </c:ext>
            </c:extLst>
          </c:dPt>
          <c:cat>
            <c:strRef>
              <c:f>Resumo!$A$7:$A$9</c:f>
              <c:strCache>
                <c:ptCount val="3"/>
                <c:pt idx="0">
                  <c:v>API — Não executado</c:v>
                </c:pt>
                <c:pt idx="1">
                  <c:v>API — Passou</c:v>
                </c:pt>
                <c:pt idx="2">
                  <c:v>API — Falhou</c:v>
                </c:pt>
              </c:strCache>
            </c:strRef>
          </c:cat>
          <c:val>
            <c:numRef>
              <c:f>Resumo!$B$7:$B$9</c:f>
              <c:numCache>
                <c:formatCode>General</c:formatCode>
                <c:ptCount val="3"/>
                <c:pt idx="0">
                  <c:v>0</c:v>
                </c:pt>
                <c:pt idx="1">
                  <c:v>21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A-4966-B956-351E3D419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4762</xdr:rowOff>
    </xdr:from>
    <xdr:to>
      <xdr:col>11</xdr:col>
      <xdr:colOff>295275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210E2B-07E6-404E-B120-27940C926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16</xdr:row>
      <xdr:rowOff>119062</xdr:rowOff>
    </xdr:from>
    <xdr:to>
      <xdr:col>11</xdr:col>
      <xdr:colOff>309562</xdr:colOff>
      <xdr:row>31</xdr:row>
      <xdr:rowOff>4762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DB49E9-2FA3-4080-AD41-92CAC3DBE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UI" displayName="CasosUI" ref="A1:L19">
  <autoFilter ref="A1:L19" xr:uid="{00000000-0009-0000-0100-000001000000}"/>
  <tableColumns count="12">
    <tableColumn id="1" xr3:uid="{00000000-0010-0000-0000-000001000000}" name="ID"/>
    <tableColumn id="2" xr3:uid="{00000000-0010-0000-0000-000002000000}" name="Funcionalidade"/>
    <tableColumn id="3" xr3:uid="{00000000-0010-0000-0000-000003000000}" name="Cenário"/>
    <tableColumn id="4" xr3:uid="{00000000-0010-0000-0000-000004000000}" name="Requisito"/>
    <tableColumn id="5" xr3:uid="{00000000-0010-0000-0000-000005000000}" name="Prioridade"/>
    <tableColumn id="10" xr3:uid="{51B02C10-CC2F-4CC8-8D23-46FBD80BE7B3}" name="Severidade" dataDxfId="6"/>
    <tableColumn id="6" xr3:uid="{00000000-0010-0000-0000-000006000000}" name="BDD"/>
    <tableColumn id="11" xr3:uid="{0A888607-2E5E-4B78-B474-0292E91CA5A8}" name="Resultado Esperado" dataDxfId="5"/>
    <tableColumn id="7" xr3:uid="{00000000-0010-0000-0000-000007000000}" name="Status"/>
    <tableColumn id="12" xr3:uid="{A78DE500-E00B-46DD-9772-C68FE2F9BC85}" name="Resultado Obtido" dataDxfId="4"/>
    <tableColumn id="8" xr3:uid="{00000000-0010-0000-0000-000008000000}" name="Evidências" dataDxfId="3"/>
    <tableColumn id="9" xr3:uid="{00000000-0010-0000-0000-000009000000}" name="Bu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osAPI" displayName="CasosAPI" ref="A1:O23">
  <autoFilter ref="A1:O23" xr:uid="{00000000-0009-0000-0100-000002000000}"/>
  <tableColumns count="15">
    <tableColumn id="1" xr3:uid="{00000000-0010-0000-0100-000001000000}" name="ID"/>
    <tableColumn id="2" xr3:uid="{00000000-0010-0000-0100-000002000000}" name="Funcionalidade"/>
    <tableColumn id="3" xr3:uid="{00000000-0010-0000-0100-000003000000}" name="Cenário"/>
    <tableColumn id="4" xr3:uid="{00000000-0010-0000-0100-000004000000}" name="Endpoint"/>
    <tableColumn id="5" xr3:uid="{00000000-0010-0000-0100-000005000000}" name="Prioridade"/>
    <tableColumn id="13" xr3:uid="{DF090452-911D-4E92-AA62-05EDE4E5995C}" name="Severidade" dataDxfId="2"/>
    <tableColumn id="6" xr3:uid="{00000000-0010-0000-0100-000006000000}" name="BDD"/>
    <tableColumn id="7" xr3:uid="{00000000-0010-0000-0100-000007000000}" name="HTTP Esperado"/>
    <tableColumn id="8" xr3:uid="{00000000-0010-0000-0100-000008000000}" name="Código Esperado"/>
    <tableColumn id="9" xr3:uid="{00000000-0010-0000-0100-000009000000}" name="Pré-condições / Dados de entrada"/>
    <tableColumn id="14" xr3:uid="{87BD1CDD-4B5B-4C6B-8ABA-3AC215AE50F5}" name="Resultado Esperado" dataDxfId="1"/>
    <tableColumn id="10" xr3:uid="{00000000-0010-0000-0100-00000A000000}" name="Status"/>
    <tableColumn id="15" xr3:uid="{709BCEA5-F542-47A5-86EE-D0F0D031F682}" name="Resultado Obtido" dataDxfId="0"/>
    <tableColumn id="11" xr3:uid="{00000000-0010-0000-0100-00000B000000}" name="Evidência"/>
    <tableColumn id="12" xr3:uid="{00000000-0010-0000-0100-00000C000000}" name="B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screencast.com/nI4xgC2rDjEt0" TargetMode="External"/><Relationship Id="rId13" Type="http://schemas.openxmlformats.org/officeDocument/2006/relationships/hyperlink" Target="https://app.screencast.com/lLfxb0fQOAdBE" TargetMode="External"/><Relationship Id="rId18" Type="http://schemas.openxmlformats.org/officeDocument/2006/relationships/hyperlink" Target="https://app.screencast.com/tVrkiy6X0VewA" TargetMode="External"/><Relationship Id="rId3" Type="http://schemas.openxmlformats.org/officeDocument/2006/relationships/hyperlink" Target="https://app.screencast.com/Bd4BoaXnwXWh1" TargetMode="External"/><Relationship Id="rId7" Type="http://schemas.openxmlformats.org/officeDocument/2006/relationships/hyperlink" Target="https://app.screencast.com/yFmZsrepttKUz" TargetMode="External"/><Relationship Id="rId12" Type="http://schemas.openxmlformats.org/officeDocument/2006/relationships/hyperlink" Target="https://app.screencast.com/e9LXYrk7GHpKE" TargetMode="External"/><Relationship Id="rId17" Type="http://schemas.openxmlformats.org/officeDocument/2006/relationships/hyperlink" Target="https://app.screencast.com/tVrkiy6X0VewA" TargetMode="External"/><Relationship Id="rId2" Type="http://schemas.openxmlformats.org/officeDocument/2006/relationships/hyperlink" Target="https://app.screencast.com/SccQXVjcV24Fw" TargetMode="External"/><Relationship Id="rId16" Type="http://schemas.openxmlformats.org/officeDocument/2006/relationships/hyperlink" Target="https://app.screencast.com/DdtKefTQgSBP7?conversation=U7Iwx6MTDOK5hn1OmfvoIN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app.screencast.com/DdtKefTQgSBP7" TargetMode="External"/><Relationship Id="rId6" Type="http://schemas.openxmlformats.org/officeDocument/2006/relationships/hyperlink" Target="https://app.screencast.com/15HYIh8tFWwV8" TargetMode="External"/><Relationship Id="rId11" Type="http://schemas.openxmlformats.org/officeDocument/2006/relationships/hyperlink" Target="https://app.screencast.com/wmkNGis0cHCRP" TargetMode="External"/><Relationship Id="rId5" Type="http://schemas.openxmlformats.org/officeDocument/2006/relationships/hyperlink" Target="https://app.screencast.com/8cq2fqjqa7bsJ" TargetMode="External"/><Relationship Id="rId15" Type="http://schemas.openxmlformats.org/officeDocument/2006/relationships/hyperlink" Target="https://app.screencast.com/DdtKefTQgSBP7?conversation=U7Iwx6MTDOK5hn1OmfvoIN" TargetMode="External"/><Relationship Id="rId10" Type="http://schemas.openxmlformats.org/officeDocument/2006/relationships/hyperlink" Target="https://app.screencast.com/VMNx4KlkYcVbV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app.screencast.com/8cq2fqjqa7bsJ" TargetMode="External"/><Relationship Id="rId9" Type="http://schemas.openxmlformats.org/officeDocument/2006/relationships/hyperlink" Target="https://app.screencast.com/nI4xgC2rDjEt0" TargetMode="External"/><Relationship Id="rId14" Type="http://schemas.openxmlformats.org/officeDocument/2006/relationships/hyperlink" Target="https://app.screencast.com/DdtKefTQgSBP7?conversation=U7Iwx6MTDOK5hn1Omfvo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screencast.com/w5azZERlnBzlz" TargetMode="External"/><Relationship Id="rId13" Type="http://schemas.openxmlformats.org/officeDocument/2006/relationships/hyperlink" Target="https://app.screencast.com/iPjAYTXsvtWtI" TargetMode="External"/><Relationship Id="rId18" Type="http://schemas.openxmlformats.org/officeDocument/2006/relationships/hyperlink" Target="https://app.screencast.com/qXBbNFbYD4ytq" TargetMode="External"/><Relationship Id="rId3" Type="http://schemas.openxmlformats.org/officeDocument/2006/relationships/hyperlink" Target="https://app.screencast.com/4iQubZMNpkV2X" TargetMode="External"/><Relationship Id="rId21" Type="http://schemas.openxmlformats.org/officeDocument/2006/relationships/hyperlink" Target="https://app.screencast.com/w7Tnk7Pr4qOnr" TargetMode="External"/><Relationship Id="rId7" Type="http://schemas.openxmlformats.org/officeDocument/2006/relationships/hyperlink" Target="https://app.screencast.com/7yMmQ6I7ml7E9" TargetMode="External"/><Relationship Id="rId12" Type="http://schemas.openxmlformats.org/officeDocument/2006/relationships/hyperlink" Target="https://app.screencast.com/sDyR3DqTZplBL" TargetMode="External"/><Relationship Id="rId17" Type="http://schemas.openxmlformats.org/officeDocument/2006/relationships/hyperlink" Target="https://app.screencast.com/tFIjkDo6UYkAW" TargetMode="External"/><Relationship Id="rId2" Type="http://schemas.openxmlformats.org/officeDocument/2006/relationships/hyperlink" Target="https://app.screencast.com/EhFaEAGpSqJTL" TargetMode="External"/><Relationship Id="rId16" Type="http://schemas.openxmlformats.org/officeDocument/2006/relationships/hyperlink" Target="https://app.screencast.com/bOyvYcfpBYfcr" TargetMode="External"/><Relationship Id="rId20" Type="http://schemas.openxmlformats.org/officeDocument/2006/relationships/hyperlink" Target="https://app.screencast.com/43jjN9qY9MKfi" TargetMode="External"/><Relationship Id="rId1" Type="http://schemas.openxmlformats.org/officeDocument/2006/relationships/hyperlink" Target="https://app.screencast.com/aIZ3QypwoW9Q8" TargetMode="External"/><Relationship Id="rId6" Type="http://schemas.openxmlformats.org/officeDocument/2006/relationships/hyperlink" Target="https://app.screencast.com/Ji3KM5ee8BOpX" TargetMode="External"/><Relationship Id="rId11" Type="http://schemas.openxmlformats.org/officeDocument/2006/relationships/hyperlink" Target="https://app.screencast.com/unmDF8x89sLGo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app.screencast.com/4ttr3g0DKFsAZ" TargetMode="External"/><Relationship Id="rId15" Type="http://schemas.openxmlformats.org/officeDocument/2006/relationships/hyperlink" Target="https://app.screencast.com/WxVOXWwrfA7g8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app.screencast.com/6Hj97eTYwjgT3" TargetMode="External"/><Relationship Id="rId19" Type="http://schemas.openxmlformats.org/officeDocument/2006/relationships/hyperlink" Target="https://app.screencast.com/IBDR55IpBWlBC" TargetMode="External"/><Relationship Id="rId4" Type="http://schemas.openxmlformats.org/officeDocument/2006/relationships/hyperlink" Target="https://app.screencast.com/LFMtWukxjNsjZ" TargetMode="External"/><Relationship Id="rId9" Type="http://schemas.openxmlformats.org/officeDocument/2006/relationships/hyperlink" Target="https://app.screencast.com/gZXmvI3dEp7Nl" TargetMode="External"/><Relationship Id="rId14" Type="http://schemas.openxmlformats.org/officeDocument/2006/relationships/hyperlink" Target="https://app.screencast.com/Z1sfQRp2GiBQr" TargetMode="External"/><Relationship Id="rId22" Type="http://schemas.openxmlformats.org/officeDocument/2006/relationships/hyperlink" Target="https://app.screencast.com/4hHRIaREeV4g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zedasilva@e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creencast.com/nnbkJNq2WYJsT" TargetMode="External"/><Relationship Id="rId2" Type="http://schemas.openxmlformats.org/officeDocument/2006/relationships/hyperlink" Target="https://app.screencast.com/nnbkJNq2WYJsT" TargetMode="External"/><Relationship Id="rId1" Type="http://schemas.openxmlformats.org/officeDocument/2006/relationships/hyperlink" Target="https://app.screencast.com/raVXqM0FR2aft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opLeftCell="F1" zoomScaleNormal="100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12" customWidth="1"/>
    <col min="2" max="2" width="24" customWidth="1"/>
    <col min="3" max="3" width="46" customWidth="1"/>
    <col min="4" max="4" width="20" customWidth="1"/>
    <col min="5" max="5" width="12.5703125" bestFit="1" customWidth="1"/>
    <col min="6" max="6" width="13.28515625" bestFit="1" customWidth="1"/>
    <col min="7" max="8" width="78" customWidth="1"/>
    <col min="9" max="9" width="18" customWidth="1"/>
    <col min="10" max="10" width="18.85546875" bestFit="1" customWidth="1"/>
    <col min="11" max="11" width="28" style="8" customWidth="1"/>
    <col min="12" max="12" width="18" customWidth="1"/>
  </cols>
  <sheetData>
    <row r="1" spans="1:12" x14ac:dyDescent="0.25">
      <c r="A1" s="1" t="s">
        <v>0</v>
      </c>
      <c r="B1" s="6" t="s">
        <v>299</v>
      </c>
      <c r="C1" s="6" t="s">
        <v>1</v>
      </c>
      <c r="D1" s="1" t="s">
        <v>2</v>
      </c>
      <c r="E1" s="1" t="s">
        <v>3</v>
      </c>
      <c r="F1" s="6" t="s">
        <v>350</v>
      </c>
      <c r="G1" s="1" t="s">
        <v>4</v>
      </c>
      <c r="H1" s="6" t="s">
        <v>337</v>
      </c>
      <c r="I1" s="1" t="s">
        <v>5</v>
      </c>
      <c r="J1" s="6" t="s">
        <v>353</v>
      </c>
      <c r="K1" s="6" t="s">
        <v>236</v>
      </c>
      <c r="L1" s="1" t="s">
        <v>7</v>
      </c>
    </row>
    <row r="2" spans="1:12" ht="4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18</v>
      </c>
      <c r="G2" s="2" t="s">
        <v>272</v>
      </c>
      <c r="H2" s="2" t="s">
        <v>354</v>
      </c>
      <c r="I2" s="2" t="s">
        <v>233</v>
      </c>
      <c r="J2" s="2" t="s">
        <v>366</v>
      </c>
      <c r="K2" s="7" t="s">
        <v>237</v>
      </c>
      <c r="L2" s="2"/>
    </row>
    <row r="3" spans="1:12" ht="60" x14ac:dyDescent="0.25">
      <c r="A3" s="2" t="s">
        <v>13</v>
      </c>
      <c r="B3" s="2" t="s">
        <v>279</v>
      </c>
      <c r="C3" s="2" t="s">
        <v>14</v>
      </c>
      <c r="D3" s="2" t="s">
        <v>15</v>
      </c>
      <c r="E3" s="2" t="s">
        <v>18</v>
      </c>
      <c r="F3" s="2" t="s">
        <v>18</v>
      </c>
      <c r="G3" s="2" t="s">
        <v>324</v>
      </c>
      <c r="H3" s="2" t="s">
        <v>354</v>
      </c>
      <c r="I3" s="2" t="s">
        <v>233</v>
      </c>
      <c r="J3" s="2" t="s">
        <v>366</v>
      </c>
      <c r="K3" s="5" t="s">
        <v>325</v>
      </c>
      <c r="L3" s="2"/>
    </row>
    <row r="4" spans="1:12" ht="60" x14ac:dyDescent="0.25">
      <c r="A4" s="2" t="s">
        <v>16</v>
      </c>
      <c r="B4" s="2" t="s">
        <v>9</v>
      </c>
      <c r="C4" s="2" t="s">
        <v>17</v>
      </c>
      <c r="D4" s="2" t="s">
        <v>15</v>
      </c>
      <c r="E4" s="2" t="s">
        <v>18</v>
      </c>
      <c r="F4" s="2" t="s">
        <v>18</v>
      </c>
      <c r="G4" s="2" t="s">
        <v>280</v>
      </c>
      <c r="H4" s="2" t="s">
        <v>354</v>
      </c>
      <c r="I4" s="2" t="s">
        <v>233</v>
      </c>
      <c r="J4" s="2" t="s">
        <v>366</v>
      </c>
      <c r="K4" s="5" t="s">
        <v>325</v>
      </c>
      <c r="L4" s="2"/>
    </row>
    <row r="5" spans="1:12" ht="45" x14ac:dyDescent="0.25">
      <c r="A5" s="2" t="s">
        <v>19</v>
      </c>
      <c r="B5" s="2" t="s">
        <v>9</v>
      </c>
      <c r="C5" s="2" t="s">
        <v>20</v>
      </c>
      <c r="D5" s="2" t="s">
        <v>15</v>
      </c>
      <c r="E5" s="2" t="s">
        <v>18</v>
      </c>
      <c r="F5" s="2" t="s">
        <v>18</v>
      </c>
      <c r="G5" s="2" t="s">
        <v>273</v>
      </c>
      <c r="H5" s="2" t="s">
        <v>354</v>
      </c>
      <c r="I5" s="2" t="s">
        <v>233</v>
      </c>
      <c r="J5" s="2" t="s">
        <v>366</v>
      </c>
      <c r="K5" s="5" t="s">
        <v>325</v>
      </c>
      <c r="L5" s="2"/>
    </row>
    <row r="6" spans="1:12" ht="6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12</v>
      </c>
      <c r="F6" s="2" t="s">
        <v>18</v>
      </c>
      <c r="G6" s="2" t="s">
        <v>281</v>
      </c>
      <c r="H6" s="2" t="s">
        <v>355</v>
      </c>
      <c r="I6" s="2" t="s">
        <v>233</v>
      </c>
      <c r="J6" s="2" t="s">
        <v>366</v>
      </c>
      <c r="K6" s="5" t="s">
        <v>246</v>
      </c>
      <c r="L6" s="2"/>
    </row>
    <row r="7" spans="1:12" ht="60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12</v>
      </c>
      <c r="F7" s="2" t="s">
        <v>18</v>
      </c>
      <c r="G7" s="2" t="s">
        <v>282</v>
      </c>
      <c r="H7" s="2" t="s">
        <v>355</v>
      </c>
      <c r="I7" s="2" t="s">
        <v>233</v>
      </c>
      <c r="J7" s="2" t="s">
        <v>366</v>
      </c>
      <c r="K7" s="5" t="s">
        <v>247</v>
      </c>
      <c r="L7" s="2"/>
    </row>
    <row r="8" spans="1:12" ht="4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12</v>
      </c>
      <c r="F8" s="2" t="s">
        <v>18</v>
      </c>
      <c r="G8" s="2" t="s">
        <v>274</v>
      </c>
      <c r="H8" s="2" t="s">
        <v>356</v>
      </c>
      <c r="I8" s="2" t="s">
        <v>233</v>
      </c>
      <c r="J8" s="2" t="s">
        <v>366</v>
      </c>
      <c r="K8" s="5" t="s">
        <v>326</v>
      </c>
      <c r="L8" s="2"/>
    </row>
    <row r="9" spans="1:12" ht="60" x14ac:dyDescent="0.25">
      <c r="A9" s="2" t="s">
        <v>33</v>
      </c>
      <c r="B9" s="2" t="s">
        <v>30</v>
      </c>
      <c r="C9" s="2" t="s">
        <v>34</v>
      </c>
      <c r="D9" s="2" t="s">
        <v>32</v>
      </c>
      <c r="E9" s="2" t="s">
        <v>12</v>
      </c>
      <c r="F9" s="2" t="s">
        <v>18</v>
      </c>
      <c r="G9" s="2" t="s">
        <v>278</v>
      </c>
      <c r="H9" s="2" t="s">
        <v>357</v>
      </c>
      <c r="I9" s="2" t="s">
        <v>233</v>
      </c>
      <c r="J9" s="2" t="s">
        <v>366</v>
      </c>
      <c r="K9" s="5" t="s">
        <v>326</v>
      </c>
      <c r="L9" s="2"/>
    </row>
    <row r="10" spans="1:12" ht="45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12</v>
      </c>
      <c r="F10" s="2" t="s">
        <v>18</v>
      </c>
      <c r="G10" s="2" t="s">
        <v>283</v>
      </c>
      <c r="H10" s="2" t="s">
        <v>358</v>
      </c>
      <c r="I10" s="2" t="s">
        <v>233</v>
      </c>
      <c r="J10" s="2" t="s">
        <v>366</v>
      </c>
      <c r="K10" s="5" t="s">
        <v>240</v>
      </c>
      <c r="L10" s="2"/>
    </row>
    <row r="11" spans="1:12" ht="45" x14ac:dyDescent="0.25">
      <c r="A11" s="2" t="s">
        <v>39</v>
      </c>
      <c r="B11" s="2" t="s">
        <v>36</v>
      </c>
      <c r="C11" s="2" t="s">
        <v>40</v>
      </c>
      <c r="D11" s="2" t="s">
        <v>41</v>
      </c>
      <c r="E11" s="2" t="s">
        <v>42</v>
      </c>
      <c r="F11" s="2" t="s">
        <v>12</v>
      </c>
      <c r="G11" s="2" t="s">
        <v>284</v>
      </c>
      <c r="H11" s="2" t="s">
        <v>359</v>
      </c>
      <c r="I11" s="2" t="s">
        <v>234</v>
      </c>
      <c r="J11" s="2" t="s">
        <v>367</v>
      </c>
      <c r="K11" s="5" t="s">
        <v>239</v>
      </c>
      <c r="L11" s="10" t="s">
        <v>235</v>
      </c>
    </row>
    <row r="12" spans="1:12" ht="45" x14ac:dyDescent="0.25">
      <c r="A12" s="2" t="s">
        <v>43</v>
      </c>
      <c r="B12" s="2" t="s">
        <v>36</v>
      </c>
      <c r="C12" s="2" t="s">
        <v>44</v>
      </c>
      <c r="D12" s="2" t="s">
        <v>41</v>
      </c>
      <c r="E12" s="2" t="s">
        <v>12</v>
      </c>
      <c r="F12" s="2" t="s">
        <v>12</v>
      </c>
      <c r="G12" s="2" t="s">
        <v>275</v>
      </c>
      <c r="H12" s="2" t="s">
        <v>359</v>
      </c>
      <c r="I12" s="2" t="s">
        <v>233</v>
      </c>
      <c r="J12" s="2" t="s">
        <v>366</v>
      </c>
      <c r="K12" s="5" t="s">
        <v>238</v>
      </c>
      <c r="L12" s="2"/>
    </row>
    <row r="13" spans="1:12" ht="45" x14ac:dyDescent="0.25">
      <c r="A13" s="2" t="s">
        <v>45</v>
      </c>
      <c r="B13" s="2" t="s">
        <v>36</v>
      </c>
      <c r="C13" s="2" t="s">
        <v>46</v>
      </c>
      <c r="D13" s="2" t="s">
        <v>47</v>
      </c>
      <c r="E13" s="2" t="s">
        <v>18</v>
      </c>
      <c r="F13" s="2" t="s">
        <v>18</v>
      </c>
      <c r="G13" s="2" t="s">
        <v>276</v>
      </c>
      <c r="H13" s="2" t="s">
        <v>360</v>
      </c>
      <c r="I13" s="2" t="s">
        <v>233</v>
      </c>
      <c r="J13" s="2" t="s">
        <v>366</v>
      </c>
      <c r="K13" s="5" t="s">
        <v>240</v>
      </c>
      <c r="L13" s="2"/>
    </row>
    <row r="14" spans="1:12" ht="60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12</v>
      </c>
      <c r="F14" s="2" t="s">
        <v>12</v>
      </c>
      <c r="G14" s="2" t="s">
        <v>285</v>
      </c>
      <c r="H14" s="2" t="s">
        <v>361</v>
      </c>
      <c r="I14" s="2" t="s">
        <v>233</v>
      </c>
      <c r="J14" s="2" t="s">
        <v>366</v>
      </c>
      <c r="K14" s="5" t="s">
        <v>241</v>
      </c>
      <c r="L14" s="2"/>
    </row>
    <row r="15" spans="1:12" ht="75" x14ac:dyDescent="0.25">
      <c r="A15" s="2" t="s">
        <v>52</v>
      </c>
      <c r="B15" s="2" t="s">
        <v>49</v>
      </c>
      <c r="C15" s="2" t="s">
        <v>53</v>
      </c>
      <c r="D15" s="2" t="s">
        <v>54</v>
      </c>
      <c r="E15" s="2" t="s">
        <v>12</v>
      </c>
      <c r="F15" s="2" t="s">
        <v>12</v>
      </c>
      <c r="G15" s="2" t="s">
        <v>277</v>
      </c>
      <c r="H15" s="2" t="s">
        <v>362</v>
      </c>
      <c r="I15" s="2" t="s">
        <v>233</v>
      </c>
      <c r="J15" s="2" t="s">
        <v>366</v>
      </c>
      <c r="K15" s="5" t="s">
        <v>242</v>
      </c>
      <c r="L15" s="2"/>
    </row>
    <row r="16" spans="1:12" ht="45" x14ac:dyDescent="0.2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12</v>
      </c>
      <c r="F16" s="2" t="s">
        <v>12</v>
      </c>
      <c r="G16" s="2" t="s">
        <v>286</v>
      </c>
      <c r="H16" s="2" t="s">
        <v>363</v>
      </c>
      <c r="I16" s="2" t="s">
        <v>233</v>
      </c>
      <c r="J16" s="2" t="s">
        <v>366</v>
      </c>
      <c r="K16" s="5" t="s">
        <v>244</v>
      </c>
      <c r="L16" s="2"/>
    </row>
    <row r="17" spans="1:12" ht="45" x14ac:dyDescent="0.25">
      <c r="A17" s="2" t="s">
        <v>59</v>
      </c>
      <c r="B17" s="2" t="s">
        <v>56</v>
      </c>
      <c r="C17" s="2" t="s">
        <v>60</v>
      </c>
      <c r="D17" s="2" t="s">
        <v>58</v>
      </c>
      <c r="E17" s="2" t="s">
        <v>12</v>
      </c>
      <c r="F17" s="2" t="s">
        <v>12</v>
      </c>
      <c r="G17" s="2" t="s">
        <v>287</v>
      </c>
      <c r="H17" s="2" t="s">
        <v>363</v>
      </c>
      <c r="I17" s="2" t="s">
        <v>233</v>
      </c>
      <c r="J17" s="2" t="s">
        <v>366</v>
      </c>
      <c r="K17" s="5" t="s">
        <v>243</v>
      </c>
      <c r="L17" s="2"/>
    </row>
    <row r="18" spans="1:12" ht="45" x14ac:dyDescent="0.25">
      <c r="A18" s="2" t="s">
        <v>61</v>
      </c>
      <c r="B18" s="2" t="s">
        <v>56</v>
      </c>
      <c r="C18" s="2" t="s">
        <v>62</v>
      </c>
      <c r="D18" s="2" t="s">
        <v>58</v>
      </c>
      <c r="E18" s="2" t="s">
        <v>12</v>
      </c>
      <c r="F18" s="2" t="s">
        <v>18</v>
      </c>
      <c r="G18" s="2" t="s">
        <v>288</v>
      </c>
      <c r="H18" s="2" t="s">
        <v>364</v>
      </c>
      <c r="I18" s="2" t="s">
        <v>233</v>
      </c>
      <c r="J18" s="2" t="s">
        <v>366</v>
      </c>
      <c r="K18" s="5" t="s">
        <v>243</v>
      </c>
      <c r="L18" s="2"/>
    </row>
    <row r="19" spans="1:12" ht="45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12</v>
      </c>
      <c r="F19" s="2" t="s">
        <v>12</v>
      </c>
      <c r="G19" s="2" t="s">
        <v>289</v>
      </c>
      <c r="H19" s="2" t="s">
        <v>365</v>
      </c>
      <c r="I19" s="2" t="s">
        <v>233</v>
      </c>
      <c r="J19" s="2" t="s">
        <v>366</v>
      </c>
      <c r="K19" s="5" t="s">
        <v>245</v>
      </c>
      <c r="L19" s="2"/>
    </row>
  </sheetData>
  <dataValidations count="1">
    <dataValidation type="list" sqref="I2:J19" xr:uid="{00000000-0002-0000-0000-000000000000}">
      <formula1>"Não executado,Passou,Falhou,Bloqueado,Não aplicável"</formula1>
    </dataValidation>
  </dataValidations>
  <hyperlinks>
    <hyperlink ref="K2" r:id="rId1" xr:uid="{38D03D3A-732C-494B-987A-77907072AFA8}"/>
    <hyperlink ref="K12" r:id="rId2" xr:uid="{1B70BF68-0073-49DC-A574-0A4FC3D9FA83}"/>
    <hyperlink ref="K11" r:id="rId3" xr:uid="{A627832B-AE3C-4BD1-B2F1-53C34228EDD6}"/>
    <hyperlink ref="K10" r:id="rId4" xr:uid="{01A1674C-DC60-4469-A0EB-EF485C6FFA37}"/>
    <hyperlink ref="K13" r:id="rId5" xr:uid="{A9279CEB-B83A-4EFD-AD8A-D6BE08F6CF2A}"/>
    <hyperlink ref="K14" r:id="rId6" xr:uid="{0E452470-885C-478F-A01F-35BFACA36EFE}"/>
    <hyperlink ref="K15" r:id="rId7" xr:uid="{645C0CE0-DFF7-43D3-91C5-9654CA7C9E29}"/>
    <hyperlink ref="K18" r:id="rId8" xr:uid="{ADBEECF6-B6A5-404E-B163-6BECDF4AEBBF}"/>
    <hyperlink ref="K17" r:id="rId9" xr:uid="{AF4D5327-467F-4F79-8AB8-8642FEE3329E}"/>
    <hyperlink ref="K16" r:id="rId10" xr:uid="{D737B60B-CC63-4D75-BE93-ABA9FC646C6F}"/>
    <hyperlink ref="K19" r:id="rId11" xr:uid="{D4C622CD-5ED1-42C7-96EB-4325AC0BED8C}"/>
    <hyperlink ref="K6" r:id="rId12" xr:uid="{1E6F38C2-76D3-4425-8E90-3F2A195144F0}"/>
    <hyperlink ref="K7" r:id="rId13" xr:uid="{188AA375-42F6-4394-8131-BBF2CAFF3C49}"/>
    <hyperlink ref="K3" r:id="rId14" xr:uid="{34072715-4D6A-440D-9493-C0F88DC2EB15}"/>
    <hyperlink ref="K4" r:id="rId15" xr:uid="{1DE85D6E-BBC3-4114-A8EC-4691142D9437}"/>
    <hyperlink ref="K5" r:id="rId16" xr:uid="{738EC00C-364A-4164-B653-7036019DA312}"/>
    <hyperlink ref="K8" r:id="rId17" xr:uid="{F16CCAF4-9BAB-48CD-9CFB-124354DA2314}"/>
    <hyperlink ref="K9" r:id="rId18" xr:uid="{4E023B34-6EA8-4168-AC57-2FE592F00B4E}"/>
    <hyperlink ref="L11" location="'BUG REPORT'!A2" display="BUG-001" xr:uid="{9384DCDF-53AB-4FD6-BF12-5C544001807C}"/>
  </hyperlinks>
  <pageMargins left="0.75" right="0.75" top="1" bottom="1" header="0.5" footer="0.5"/>
  <pageSetup paperSize="9" orientation="portrait" r:id="rId19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abSelected="1" zoomScale="70" zoomScaleNormal="70" workbookViewId="0">
      <pane xSplit="1" topLeftCell="E1" activePane="topRight" state="frozen"/>
      <selection pane="topRight" activeCell="M12" sqref="M12"/>
    </sheetView>
  </sheetViews>
  <sheetFormatPr defaultRowHeight="15" x14ac:dyDescent="0.25"/>
  <cols>
    <col min="1" max="1" width="12" customWidth="1"/>
    <col min="2" max="2" width="22" customWidth="1"/>
    <col min="3" max="3" width="42" customWidth="1"/>
    <col min="4" max="4" width="30" customWidth="1"/>
    <col min="5" max="5" width="16.7109375" bestFit="1" customWidth="1"/>
    <col min="6" max="6" width="17.85546875" bestFit="1" customWidth="1"/>
    <col min="7" max="7" width="76" customWidth="1"/>
    <col min="8" max="8" width="16" customWidth="1"/>
    <col min="9" max="9" width="32" customWidth="1"/>
    <col min="10" max="10" width="72" customWidth="1"/>
    <col min="11" max="11" width="31.7109375" bestFit="1" customWidth="1"/>
    <col min="12" max="12" width="18" customWidth="1"/>
    <col min="13" max="13" width="25" bestFit="1" customWidth="1"/>
    <col min="14" max="14" width="28" customWidth="1"/>
    <col min="15" max="15" width="18" customWidth="1"/>
  </cols>
  <sheetData>
    <row r="1" spans="1:15" x14ac:dyDescent="0.25">
      <c r="A1" s="1" t="s">
        <v>0</v>
      </c>
      <c r="B1" s="6" t="s">
        <v>299</v>
      </c>
      <c r="C1" s="6" t="s">
        <v>1</v>
      </c>
      <c r="D1" s="1" t="s">
        <v>67</v>
      </c>
      <c r="E1" s="1" t="s">
        <v>3</v>
      </c>
      <c r="F1" s="6" t="s">
        <v>350</v>
      </c>
      <c r="G1" s="1" t="s">
        <v>4</v>
      </c>
      <c r="H1" s="1" t="s">
        <v>68</v>
      </c>
      <c r="I1" s="1" t="s">
        <v>69</v>
      </c>
      <c r="J1" s="1" t="s">
        <v>372</v>
      </c>
      <c r="K1" s="6" t="s">
        <v>337</v>
      </c>
      <c r="L1" s="1" t="s">
        <v>5</v>
      </c>
      <c r="M1" s="6" t="s">
        <v>353</v>
      </c>
      <c r="N1" s="1" t="s">
        <v>6</v>
      </c>
      <c r="O1" s="1" t="s">
        <v>7</v>
      </c>
    </row>
    <row r="2" spans="1:15" ht="60" x14ac:dyDescent="0.25">
      <c r="A2" s="2" t="s">
        <v>70</v>
      </c>
      <c r="B2" s="2" t="s">
        <v>71</v>
      </c>
      <c r="C2" s="2" t="s">
        <v>291</v>
      </c>
      <c r="D2" s="2" t="s">
        <v>72</v>
      </c>
      <c r="E2" s="2" t="s">
        <v>12</v>
      </c>
      <c r="F2" s="2" t="s">
        <v>351</v>
      </c>
      <c r="G2" s="2" t="s">
        <v>290</v>
      </c>
      <c r="H2" s="2" t="s">
        <v>73</v>
      </c>
      <c r="I2" s="2" t="s">
        <v>320</v>
      </c>
      <c r="J2" s="2" t="s">
        <v>373</v>
      </c>
      <c r="K2" s="2" t="s">
        <v>375</v>
      </c>
      <c r="L2" s="2" t="s">
        <v>233</v>
      </c>
      <c r="M2" s="2" t="s">
        <v>366</v>
      </c>
      <c r="N2" s="5" t="s">
        <v>251</v>
      </c>
      <c r="O2" s="2"/>
    </row>
    <row r="3" spans="1:15" ht="60" x14ac:dyDescent="0.25">
      <c r="A3" s="2" t="s">
        <v>74</v>
      </c>
      <c r="B3" s="2" t="s">
        <v>71</v>
      </c>
      <c r="C3" s="2" t="s">
        <v>75</v>
      </c>
      <c r="D3" s="2" t="s">
        <v>76</v>
      </c>
      <c r="E3" s="2" t="s">
        <v>12</v>
      </c>
      <c r="F3" s="2" t="s">
        <v>12</v>
      </c>
      <c r="G3" s="2" t="s">
        <v>292</v>
      </c>
      <c r="H3" s="2" t="s">
        <v>73</v>
      </c>
      <c r="I3" s="2" t="s">
        <v>320</v>
      </c>
      <c r="J3" s="2" t="s">
        <v>374</v>
      </c>
      <c r="K3" s="2" t="s">
        <v>376</v>
      </c>
      <c r="L3" s="2" t="s">
        <v>233</v>
      </c>
      <c r="M3" s="2" t="s">
        <v>366</v>
      </c>
      <c r="N3" s="5" t="s">
        <v>250</v>
      </c>
      <c r="O3" s="2"/>
    </row>
    <row r="4" spans="1:15" ht="60" x14ac:dyDescent="0.25">
      <c r="A4" s="2" t="s">
        <v>77</v>
      </c>
      <c r="B4" s="2" t="s">
        <v>71</v>
      </c>
      <c r="C4" s="2" t="s">
        <v>78</v>
      </c>
      <c r="D4" s="2" t="s">
        <v>76</v>
      </c>
      <c r="E4" s="2" t="s">
        <v>18</v>
      </c>
      <c r="F4" s="2" t="s">
        <v>18</v>
      </c>
      <c r="G4" s="2" t="s">
        <v>293</v>
      </c>
      <c r="H4" s="2" t="s">
        <v>79</v>
      </c>
      <c r="I4" s="2" t="s">
        <v>80</v>
      </c>
      <c r="J4" s="2" t="s">
        <v>81</v>
      </c>
      <c r="K4" s="2" t="s">
        <v>377</v>
      </c>
      <c r="L4" s="2" t="s">
        <v>233</v>
      </c>
      <c r="M4" s="2" t="s">
        <v>366</v>
      </c>
      <c r="N4" s="5" t="s">
        <v>248</v>
      </c>
      <c r="O4" s="2"/>
    </row>
    <row r="5" spans="1:15" ht="60" x14ac:dyDescent="0.25">
      <c r="A5" s="2" t="s">
        <v>82</v>
      </c>
      <c r="B5" s="2" t="s">
        <v>83</v>
      </c>
      <c r="C5" s="2" t="s">
        <v>84</v>
      </c>
      <c r="D5" s="2" t="s">
        <v>85</v>
      </c>
      <c r="E5" s="2" t="s">
        <v>12</v>
      </c>
      <c r="F5" s="2" t="s">
        <v>12</v>
      </c>
      <c r="G5" s="2" t="s">
        <v>294</v>
      </c>
      <c r="H5" s="2" t="s">
        <v>86</v>
      </c>
      <c r="I5" s="2" t="s">
        <v>87</v>
      </c>
      <c r="J5" s="2" t="s">
        <v>88</v>
      </c>
      <c r="K5" s="2" t="s">
        <v>378</v>
      </c>
      <c r="L5" s="2" t="s">
        <v>233</v>
      </c>
      <c r="M5" s="2" t="s">
        <v>366</v>
      </c>
      <c r="N5" s="5" t="s">
        <v>249</v>
      </c>
      <c r="O5" s="2"/>
    </row>
    <row r="6" spans="1:15" ht="60" x14ac:dyDescent="0.25">
      <c r="A6" s="2" t="s">
        <v>89</v>
      </c>
      <c r="B6" s="2" t="s">
        <v>83</v>
      </c>
      <c r="C6" s="2" t="s">
        <v>90</v>
      </c>
      <c r="D6" s="2" t="s">
        <v>85</v>
      </c>
      <c r="E6" s="2" t="s">
        <v>12</v>
      </c>
      <c r="F6" s="2" t="s">
        <v>12</v>
      </c>
      <c r="G6" s="2" t="s">
        <v>295</v>
      </c>
      <c r="H6" s="2" t="s">
        <v>86</v>
      </c>
      <c r="I6" s="2" t="s">
        <v>87</v>
      </c>
      <c r="J6" s="2" t="s">
        <v>91</v>
      </c>
      <c r="K6" s="2" t="s">
        <v>379</v>
      </c>
      <c r="L6" s="2" t="s">
        <v>233</v>
      </c>
      <c r="M6" s="2" t="s">
        <v>366</v>
      </c>
      <c r="N6" s="5" t="s">
        <v>252</v>
      </c>
      <c r="O6" s="2"/>
    </row>
    <row r="7" spans="1:15" ht="75" x14ac:dyDescent="0.25">
      <c r="A7" s="2" t="s">
        <v>92</v>
      </c>
      <c r="B7" s="2" t="s">
        <v>83</v>
      </c>
      <c r="C7" s="2" t="s">
        <v>93</v>
      </c>
      <c r="D7" s="2" t="s">
        <v>85</v>
      </c>
      <c r="E7" s="2" t="s">
        <v>12</v>
      </c>
      <c r="F7" s="2" t="s">
        <v>12</v>
      </c>
      <c r="G7" s="2" t="s">
        <v>296</v>
      </c>
      <c r="H7" s="2" t="s">
        <v>86</v>
      </c>
      <c r="I7" s="2" t="s">
        <v>94</v>
      </c>
      <c r="J7" s="2" t="s">
        <v>95</v>
      </c>
      <c r="K7" s="2" t="s">
        <v>380</v>
      </c>
      <c r="L7" s="2" t="s">
        <v>233</v>
      </c>
      <c r="M7" s="2" t="s">
        <v>366</v>
      </c>
      <c r="N7" s="5" t="s">
        <v>253</v>
      </c>
      <c r="O7" s="2"/>
    </row>
    <row r="8" spans="1:15" ht="60" x14ac:dyDescent="0.25">
      <c r="A8" s="2" t="s">
        <v>96</v>
      </c>
      <c r="B8" s="2" t="s">
        <v>83</v>
      </c>
      <c r="C8" s="2" t="s">
        <v>97</v>
      </c>
      <c r="D8" s="2" t="s">
        <v>85</v>
      </c>
      <c r="E8" s="2" t="s">
        <v>12</v>
      </c>
      <c r="F8" s="2" t="s">
        <v>12</v>
      </c>
      <c r="G8" s="2" t="s">
        <v>297</v>
      </c>
      <c r="H8" s="2" t="s">
        <v>86</v>
      </c>
      <c r="I8" s="2" t="s">
        <v>80</v>
      </c>
      <c r="J8" s="2" t="s">
        <v>98</v>
      </c>
      <c r="K8" s="2" t="s">
        <v>381</v>
      </c>
      <c r="L8" s="2" t="s">
        <v>233</v>
      </c>
      <c r="M8" s="2" t="s">
        <v>366</v>
      </c>
      <c r="N8" s="5" t="s">
        <v>257</v>
      </c>
      <c r="O8" s="2"/>
    </row>
    <row r="9" spans="1:15" ht="60" x14ac:dyDescent="0.25">
      <c r="A9" s="2" t="s">
        <v>99</v>
      </c>
      <c r="B9" s="2" t="s">
        <v>83</v>
      </c>
      <c r="C9" s="2" t="s">
        <v>100</v>
      </c>
      <c r="D9" s="2" t="s">
        <v>85</v>
      </c>
      <c r="E9" s="2" t="s">
        <v>12</v>
      </c>
      <c r="F9" s="2" t="s">
        <v>12</v>
      </c>
      <c r="G9" s="2" t="s">
        <v>298</v>
      </c>
      <c r="H9" s="2" t="s">
        <v>86</v>
      </c>
      <c r="I9" s="2" t="s">
        <v>101</v>
      </c>
      <c r="J9" s="2" t="s">
        <v>102</v>
      </c>
      <c r="K9" s="2" t="s">
        <v>382</v>
      </c>
      <c r="L9" s="2" t="s">
        <v>233</v>
      </c>
      <c r="M9" s="2" t="s">
        <v>366</v>
      </c>
      <c r="N9" s="5" t="s">
        <v>255</v>
      </c>
      <c r="O9" s="2"/>
    </row>
    <row r="10" spans="1:15" ht="75" x14ac:dyDescent="0.25">
      <c r="A10" s="2" t="s">
        <v>103</v>
      </c>
      <c r="B10" s="2" t="s">
        <v>83</v>
      </c>
      <c r="C10" s="2" t="s">
        <v>104</v>
      </c>
      <c r="D10" s="2" t="s">
        <v>85</v>
      </c>
      <c r="E10" s="2" t="s">
        <v>12</v>
      </c>
      <c r="F10" s="2" t="s">
        <v>12</v>
      </c>
      <c r="G10" s="2" t="s">
        <v>300</v>
      </c>
      <c r="H10" s="2" t="s">
        <v>86</v>
      </c>
      <c r="I10" s="2" t="s">
        <v>105</v>
      </c>
      <c r="J10" s="2" t="s">
        <v>106</v>
      </c>
      <c r="K10" s="2" t="s">
        <v>383</v>
      </c>
      <c r="L10" s="2" t="s">
        <v>233</v>
      </c>
      <c r="M10" s="2" t="s">
        <v>366</v>
      </c>
      <c r="N10" s="5" t="s">
        <v>256</v>
      </c>
      <c r="O10" s="2"/>
    </row>
    <row r="11" spans="1:15" ht="75" x14ac:dyDescent="0.25">
      <c r="A11" s="2" t="s">
        <v>107</v>
      </c>
      <c r="B11" s="2" t="s">
        <v>83</v>
      </c>
      <c r="C11" s="2" t="s">
        <v>108</v>
      </c>
      <c r="D11" s="2" t="s">
        <v>85</v>
      </c>
      <c r="E11" s="2" t="s">
        <v>42</v>
      </c>
      <c r="F11" s="2" t="s">
        <v>12</v>
      </c>
      <c r="G11" s="2" t="s">
        <v>301</v>
      </c>
      <c r="H11" s="2" t="s">
        <v>86</v>
      </c>
      <c r="I11" s="2" t="s">
        <v>109</v>
      </c>
      <c r="J11" s="2" t="s">
        <v>110</v>
      </c>
      <c r="K11" s="2" t="s">
        <v>384</v>
      </c>
      <c r="L11" s="2" t="s">
        <v>234</v>
      </c>
      <c r="M11" s="2" t="s">
        <v>371</v>
      </c>
      <c r="N11" s="5" t="s">
        <v>258</v>
      </c>
      <c r="O11" s="5" t="s">
        <v>254</v>
      </c>
    </row>
    <row r="12" spans="1:15" ht="90" x14ac:dyDescent="0.25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42</v>
      </c>
      <c r="F12" s="2" t="s">
        <v>351</v>
      </c>
      <c r="G12" s="2" t="s">
        <v>302</v>
      </c>
      <c r="H12" s="2" t="s">
        <v>115</v>
      </c>
      <c r="I12" s="2" t="s">
        <v>321</v>
      </c>
      <c r="J12" s="2" t="s">
        <v>319</v>
      </c>
      <c r="K12" s="2" t="s">
        <v>385</v>
      </c>
      <c r="L12" s="2" t="s">
        <v>233</v>
      </c>
      <c r="M12" s="2" t="s">
        <v>366</v>
      </c>
      <c r="N12" s="5" t="s">
        <v>260</v>
      </c>
      <c r="O12" s="2"/>
    </row>
    <row r="13" spans="1:15" ht="75" x14ac:dyDescent="0.25">
      <c r="A13" s="2" t="s">
        <v>116</v>
      </c>
      <c r="B13" s="2" t="s">
        <v>112</v>
      </c>
      <c r="C13" s="2" t="s">
        <v>117</v>
      </c>
      <c r="D13" s="2" t="s">
        <v>114</v>
      </c>
      <c r="E13" s="2" t="s">
        <v>18</v>
      </c>
      <c r="F13" s="2" t="s">
        <v>18</v>
      </c>
      <c r="G13" s="2" t="s">
        <v>352</v>
      </c>
      <c r="H13" s="2" t="s">
        <v>86</v>
      </c>
      <c r="I13" s="2" t="s">
        <v>118</v>
      </c>
      <c r="J13" s="2" t="s">
        <v>318</v>
      </c>
      <c r="K13" s="2" t="s">
        <v>386</v>
      </c>
      <c r="L13" s="2" t="s">
        <v>233</v>
      </c>
      <c r="M13" s="2" t="s">
        <v>366</v>
      </c>
      <c r="N13" s="5" t="s">
        <v>259</v>
      </c>
      <c r="O13" s="2"/>
    </row>
    <row r="14" spans="1:15" ht="60" x14ac:dyDescent="0.25">
      <c r="A14" s="2" t="s">
        <v>120</v>
      </c>
      <c r="B14" s="2" t="s">
        <v>112</v>
      </c>
      <c r="C14" s="2" t="s">
        <v>122</v>
      </c>
      <c r="D14" s="2" t="s">
        <v>114</v>
      </c>
      <c r="E14" s="2" t="s">
        <v>42</v>
      </c>
      <c r="F14" s="2" t="s">
        <v>12</v>
      </c>
      <c r="G14" s="2" t="s">
        <v>303</v>
      </c>
      <c r="H14" s="2" t="s">
        <v>86</v>
      </c>
      <c r="I14" s="2" t="s">
        <v>118</v>
      </c>
      <c r="J14" s="2" t="s">
        <v>318</v>
      </c>
      <c r="K14" s="2" t="s">
        <v>387</v>
      </c>
      <c r="L14" s="2" t="s">
        <v>233</v>
      </c>
      <c r="M14" s="2" t="s">
        <v>366</v>
      </c>
      <c r="N14" s="5" t="s">
        <v>261</v>
      </c>
      <c r="O14" s="2"/>
    </row>
    <row r="15" spans="1:15" ht="45" x14ac:dyDescent="0.25">
      <c r="A15" s="2" t="s">
        <v>121</v>
      </c>
      <c r="B15" s="2" t="s">
        <v>112</v>
      </c>
      <c r="C15" s="2" t="s">
        <v>262</v>
      </c>
      <c r="D15" s="2" t="s">
        <v>114</v>
      </c>
      <c r="E15" s="2" t="s">
        <v>12</v>
      </c>
      <c r="F15" s="2" t="s">
        <v>12</v>
      </c>
      <c r="G15" s="2" t="s">
        <v>304</v>
      </c>
      <c r="H15" s="9">
        <v>422</v>
      </c>
      <c r="I15" s="2" t="s">
        <v>118</v>
      </c>
      <c r="J15" s="2" t="s">
        <v>318</v>
      </c>
      <c r="K15" s="2" t="s">
        <v>388</v>
      </c>
      <c r="L15" s="2" t="s">
        <v>233</v>
      </c>
      <c r="M15" s="2" t="s">
        <v>366</v>
      </c>
      <c r="N15" s="5" t="s">
        <v>263</v>
      </c>
      <c r="O15" s="2"/>
    </row>
    <row r="16" spans="1:15" ht="45" x14ac:dyDescent="0.25">
      <c r="A16" s="2" t="s">
        <v>123</v>
      </c>
      <c r="B16" s="2" t="s">
        <v>112</v>
      </c>
      <c r="C16" s="2" t="s">
        <v>125</v>
      </c>
      <c r="D16" s="2" t="s">
        <v>114</v>
      </c>
      <c r="E16" s="2" t="s">
        <v>42</v>
      </c>
      <c r="F16" s="2" t="s">
        <v>12</v>
      </c>
      <c r="G16" s="2" t="s">
        <v>305</v>
      </c>
      <c r="H16" s="2" t="s">
        <v>115</v>
      </c>
      <c r="I16" s="2" t="s">
        <v>321</v>
      </c>
      <c r="J16" s="2" t="s">
        <v>322</v>
      </c>
      <c r="K16" s="2" t="s">
        <v>389</v>
      </c>
      <c r="L16" s="2" t="s">
        <v>233</v>
      </c>
      <c r="M16" s="2" t="s">
        <v>366</v>
      </c>
      <c r="N16" s="5" t="s">
        <v>264</v>
      </c>
      <c r="O16" s="2"/>
    </row>
    <row r="17" spans="1:15" ht="45" x14ac:dyDescent="0.25">
      <c r="A17" s="2" t="s">
        <v>124</v>
      </c>
      <c r="B17" s="2" t="s">
        <v>112</v>
      </c>
      <c r="C17" s="2" t="s">
        <v>127</v>
      </c>
      <c r="D17" s="2" t="s">
        <v>114</v>
      </c>
      <c r="E17" s="2" t="s">
        <v>42</v>
      </c>
      <c r="F17" s="2" t="s">
        <v>12</v>
      </c>
      <c r="G17" s="2" t="s">
        <v>306</v>
      </c>
      <c r="H17" s="2" t="s">
        <v>115</v>
      </c>
      <c r="I17" s="2" t="s">
        <v>321</v>
      </c>
      <c r="J17" s="2" t="s">
        <v>323</v>
      </c>
      <c r="K17" s="2" t="s">
        <v>390</v>
      </c>
      <c r="L17" s="2" t="s">
        <v>233</v>
      </c>
      <c r="M17" s="2" t="s">
        <v>366</v>
      </c>
      <c r="N17" s="5" t="s">
        <v>265</v>
      </c>
      <c r="O17" s="2"/>
    </row>
    <row r="18" spans="1:15" ht="75" x14ac:dyDescent="0.25">
      <c r="A18" s="2" t="s">
        <v>126</v>
      </c>
      <c r="B18" s="2" t="s">
        <v>112</v>
      </c>
      <c r="C18" s="2" t="s">
        <v>129</v>
      </c>
      <c r="D18" s="2" t="s">
        <v>114</v>
      </c>
      <c r="E18" s="2" t="s">
        <v>12</v>
      </c>
      <c r="F18" s="2" t="s">
        <v>12</v>
      </c>
      <c r="G18" s="2" t="s">
        <v>307</v>
      </c>
      <c r="H18" s="2" t="s">
        <v>86</v>
      </c>
      <c r="I18" s="2" t="s">
        <v>118</v>
      </c>
      <c r="J18" s="2" t="s">
        <v>119</v>
      </c>
      <c r="K18" s="2" t="s">
        <v>391</v>
      </c>
      <c r="L18" s="2" t="s">
        <v>233</v>
      </c>
      <c r="M18" s="2" t="s">
        <v>366</v>
      </c>
      <c r="N18" s="5" t="s">
        <v>266</v>
      </c>
      <c r="O18" s="2"/>
    </row>
    <row r="19" spans="1:15" ht="60" x14ac:dyDescent="0.25">
      <c r="A19" s="2" t="s">
        <v>128</v>
      </c>
      <c r="B19" s="2" t="s">
        <v>112</v>
      </c>
      <c r="C19" s="2" t="s">
        <v>131</v>
      </c>
      <c r="D19" s="2" t="s">
        <v>114</v>
      </c>
      <c r="E19" s="2" t="s">
        <v>12</v>
      </c>
      <c r="F19" s="2" t="s">
        <v>12</v>
      </c>
      <c r="G19" s="2" t="s">
        <v>308</v>
      </c>
      <c r="H19" s="2" t="s">
        <v>86</v>
      </c>
      <c r="I19" s="2" t="s">
        <v>132</v>
      </c>
      <c r="J19" s="2" t="s">
        <v>133</v>
      </c>
      <c r="K19" s="2" t="s">
        <v>392</v>
      </c>
      <c r="L19" s="2" t="s">
        <v>233</v>
      </c>
      <c r="M19" s="2" t="s">
        <v>366</v>
      </c>
      <c r="N19" s="5" t="s">
        <v>267</v>
      </c>
      <c r="O19" s="2"/>
    </row>
    <row r="20" spans="1:15" ht="60" x14ac:dyDescent="0.25">
      <c r="A20" s="2" t="s">
        <v>130</v>
      </c>
      <c r="B20" s="2" t="s">
        <v>112</v>
      </c>
      <c r="C20" s="2" t="s">
        <v>135</v>
      </c>
      <c r="D20" s="2" t="s">
        <v>114</v>
      </c>
      <c r="E20" s="2" t="s">
        <v>12</v>
      </c>
      <c r="F20" s="2" t="s">
        <v>12</v>
      </c>
      <c r="G20" s="2" t="s">
        <v>309</v>
      </c>
      <c r="H20" s="2" t="s">
        <v>86</v>
      </c>
      <c r="I20" s="2" t="s">
        <v>136</v>
      </c>
      <c r="J20" s="2" t="s">
        <v>137</v>
      </c>
      <c r="K20" s="2" t="s">
        <v>393</v>
      </c>
      <c r="L20" s="2" t="s">
        <v>233</v>
      </c>
      <c r="M20" s="2" t="s">
        <v>366</v>
      </c>
      <c r="N20" s="5" t="s">
        <v>268</v>
      </c>
      <c r="O20" s="2"/>
    </row>
    <row r="21" spans="1:15" ht="60" x14ac:dyDescent="0.25">
      <c r="A21" s="2" t="s">
        <v>134</v>
      </c>
      <c r="B21" s="2" t="s">
        <v>139</v>
      </c>
      <c r="C21" s="2" t="s">
        <v>140</v>
      </c>
      <c r="D21" s="2" t="s">
        <v>141</v>
      </c>
      <c r="E21" s="2" t="s">
        <v>18</v>
      </c>
      <c r="F21" s="2" t="s">
        <v>18</v>
      </c>
      <c r="G21" s="2" t="s">
        <v>310</v>
      </c>
      <c r="H21" s="2" t="s">
        <v>142</v>
      </c>
      <c r="I21" s="2" t="s">
        <v>143</v>
      </c>
      <c r="J21" s="2" t="s">
        <v>144</v>
      </c>
      <c r="K21" s="2" t="s">
        <v>394</v>
      </c>
      <c r="L21" s="2" t="s">
        <v>233</v>
      </c>
      <c r="M21" s="2" t="s">
        <v>366</v>
      </c>
      <c r="N21" s="5" t="s">
        <v>269</v>
      </c>
      <c r="O21" s="2"/>
    </row>
    <row r="22" spans="1:15" ht="60" x14ac:dyDescent="0.25">
      <c r="A22" s="2" t="s">
        <v>138</v>
      </c>
      <c r="B22" s="2" t="s">
        <v>139</v>
      </c>
      <c r="C22" s="2" t="s">
        <v>146</v>
      </c>
      <c r="D22" s="2" t="s">
        <v>141</v>
      </c>
      <c r="E22" s="2" t="s">
        <v>18</v>
      </c>
      <c r="F22" s="2" t="s">
        <v>18</v>
      </c>
      <c r="G22" s="2" t="s">
        <v>311</v>
      </c>
      <c r="H22" s="2" t="s">
        <v>79</v>
      </c>
      <c r="I22" s="2" t="s">
        <v>147</v>
      </c>
      <c r="J22" s="2" t="s">
        <v>148</v>
      </c>
      <c r="K22" s="2" t="s">
        <v>395</v>
      </c>
      <c r="L22" s="2" t="s">
        <v>233</v>
      </c>
      <c r="M22" s="2" t="s">
        <v>366</v>
      </c>
      <c r="N22" s="5" t="s">
        <v>270</v>
      </c>
      <c r="O22" s="2"/>
    </row>
    <row r="23" spans="1:15" ht="60" x14ac:dyDescent="0.25">
      <c r="A23" s="2" t="s">
        <v>145</v>
      </c>
      <c r="B23" s="2" t="s">
        <v>139</v>
      </c>
      <c r="C23" s="2" t="s">
        <v>149</v>
      </c>
      <c r="D23" s="2" t="s">
        <v>141</v>
      </c>
      <c r="E23" s="2" t="s">
        <v>18</v>
      </c>
      <c r="F23" s="2" t="s">
        <v>18</v>
      </c>
      <c r="G23" s="2" t="s">
        <v>312</v>
      </c>
      <c r="H23" s="2" t="s">
        <v>150</v>
      </c>
      <c r="I23" s="2" t="s">
        <v>151</v>
      </c>
      <c r="J23" s="2" t="s">
        <v>152</v>
      </c>
      <c r="K23" s="2" t="s">
        <v>396</v>
      </c>
      <c r="L23" s="2" t="s">
        <v>233</v>
      </c>
      <c r="M23" s="2" t="s">
        <v>366</v>
      </c>
      <c r="N23" s="5" t="s">
        <v>271</v>
      </c>
      <c r="O23" s="2"/>
    </row>
  </sheetData>
  <phoneticPr fontId="4" type="noConversion"/>
  <dataValidations count="1">
    <dataValidation type="list" sqref="L2:M23" xr:uid="{00000000-0002-0000-0100-000000000000}">
      <formula1>"Não executado,Passou,Falhou,Bloqueado,Não aplicável"</formula1>
    </dataValidation>
  </dataValidations>
  <hyperlinks>
    <hyperlink ref="N2" r:id="rId1" xr:uid="{D2957EEB-90F8-4CFE-B167-4DE666ECEEF6}"/>
    <hyperlink ref="N3" r:id="rId2" xr:uid="{C4E8C425-97B1-49A2-B309-D3077E685DB7}"/>
    <hyperlink ref="N4" r:id="rId3" xr:uid="{39E1966E-26AF-46FE-9E5E-7EF6D57B7341}"/>
    <hyperlink ref="N5" r:id="rId4" xr:uid="{8BCD6219-EB16-475F-AAA5-A6227A1716E8}"/>
    <hyperlink ref="N6" r:id="rId5" xr:uid="{01C37C90-43AE-416F-88FB-EBDA5802EE89}"/>
    <hyperlink ref="N7" r:id="rId6" xr:uid="{16BADA19-BF87-4E18-B1F6-C443D41BF954}"/>
    <hyperlink ref="N8" r:id="rId7" xr:uid="{2B9C1E15-826B-456E-8EED-6AE0AB8CB61A}"/>
    <hyperlink ref="N9" r:id="rId8" xr:uid="{8F42F955-95DA-4DE7-B1F3-18CFAEB579D8}"/>
    <hyperlink ref="N10" r:id="rId9" xr:uid="{DEE30BE1-0333-4494-9311-E38ED3A57A27}"/>
    <hyperlink ref="N11" r:id="rId10" xr:uid="{94D0AF35-AF8B-43E8-92CC-D0FC6E379B4E}"/>
    <hyperlink ref="N13" r:id="rId11" xr:uid="{DEA1F04B-A597-4CB0-8732-376EB64F93A1}"/>
    <hyperlink ref="N12" r:id="rId12" xr:uid="{7279F4BF-8742-49C5-9EE0-853C840AFEF5}"/>
    <hyperlink ref="N14" r:id="rId13" xr:uid="{9EE3D389-4256-4BB5-84DA-FAC5D5254630}"/>
    <hyperlink ref="N15" r:id="rId14" xr:uid="{4687A703-1F91-497E-862D-1C0661205B26}"/>
    <hyperlink ref="N16" r:id="rId15" xr:uid="{6432391A-BB05-47A3-84E6-88456B6FC901}"/>
    <hyperlink ref="N17" r:id="rId16" xr:uid="{A581003B-B4DD-4BDE-8BFE-94CC693F42F4}"/>
    <hyperlink ref="N18" r:id="rId17" xr:uid="{6EC1F558-88E2-4723-9493-D74E2863CD3A}"/>
    <hyperlink ref="N19" r:id="rId18" xr:uid="{22C3ABE1-0585-40D8-893A-280C885F5872}"/>
    <hyperlink ref="N20" r:id="rId19" xr:uid="{E8B249F2-FAD2-43F7-91CD-7821357898BD}"/>
    <hyperlink ref="N21" r:id="rId20" xr:uid="{3EA84EC1-5520-47F1-88B6-1B6B9CC80F38}"/>
    <hyperlink ref="N22" r:id="rId21" xr:uid="{45A5A0D8-CAF0-49BE-A206-C53106346C72}"/>
    <hyperlink ref="N23" r:id="rId22" xr:uid="{4D492FF8-D268-46D1-A902-FC1192C6C18E}"/>
    <hyperlink ref="O11" location="'BUG REPORT'!A3" display="BUG-002" xr:uid="{291C3389-AB10-4D47-BB4D-B806062C4FA2}"/>
  </hyperlinks>
  <pageMargins left="0.75" right="0.75" top="1" bottom="1" header="0.5" footer="0.5"/>
  <pageSetup paperSize="9" orientation="portrait" r:id="rId23"/>
  <tableParts count="1"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8" customWidth="1"/>
    <col min="2" max="2" width="22" customWidth="1"/>
    <col min="3" max="3" width="34" customWidth="1"/>
    <col min="4" max="4" width="44" customWidth="1"/>
    <col min="5" max="5" width="58" customWidth="1"/>
  </cols>
  <sheetData>
    <row r="1" spans="1:5" x14ac:dyDescent="0.25">
      <c r="A1" s="1" t="s">
        <v>153</v>
      </c>
      <c r="B1" s="1" t="s">
        <v>154</v>
      </c>
      <c r="C1" s="1" t="s">
        <v>155</v>
      </c>
      <c r="D1" s="1" t="s">
        <v>156</v>
      </c>
      <c r="E1" s="4" t="s">
        <v>157</v>
      </c>
    </row>
    <row r="2" spans="1:5" ht="30" x14ac:dyDescent="0.25">
      <c r="A2" s="2" t="s">
        <v>158</v>
      </c>
      <c r="B2" s="2" t="s">
        <v>159</v>
      </c>
      <c r="C2" s="2" t="s">
        <v>160</v>
      </c>
      <c r="D2" s="2" t="s">
        <v>161</v>
      </c>
      <c r="E2" s="2" t="s">
        <v>162</v>
      </c>
    </row>
    <row r="3" spans="1:5" ht="30" x14ac:dyDescent="0.25">
      <c r="A3" s="2" t="s">
        <v>158</v>
      </c>
      <c r="B3" s="2" t="s">
        <v>163</v>
      </c>
      <c r="C3" s="2" t="s">
        <v>164</v>
      </c>
      <c r="D3" s="2" t="s">
        <v>165</v>
      </c>
      <c r="E3" s="2" t="s">
        <v>327</v>
      </c>
    </row>
    <row r="4" spans="1:5" x14ac:dyDescent="0.25">
      <c r="A4" s="2" t="s">
        <v>158</v>
      </c>
      <c r="B4" s="2" t="s">
        <v>166</v>
      </c>
      <c r="C4" s="2" t="s">
        <v>167</v>
      </c>
      <c r="D4" s="2" t="s">
        <v>168</v>
      </c>
      <c r="E4" s="2" t="s">
        <v>169</v>
      </c>
    </row>
    <row r="5" spans="1:5" x14ac:dyDescent="0.25">
      <c r="A5" s="2" t="s">
        <v>158</v>
      </c>
      <c r="B5" s="2" t="s">
        <v>170</v>
      </c>
      <c r="C5" s="2" t="s">
        <v>171</v>
      </c>
      <c r="D5" s="2" t="s">
        <v>172</v>
      </c>
      <c r="E5" s="2" t="s">
        <v>173</v>
      </c>
    </row>
    <row r="6" spans="1:5" x14ac:dyDescent="0.25">
      <c r="A6" s="2" t="s">
        <v>158</v>
      </c>
      <c r="B6" s="2" t="s">
        <v>174</v>
      </c>
      <c r="C6" s="2" t="s">
        <v>175</v>
      </c>
      <c r="D6" s="2" t="s">
        <v>176</v>
      </c>
      <c r="E6" s="2" t="s">
        <v>177</v>
      </c>
    </row>
    <row r="7" spans="1:5" x14ac:dyDescent="0.25">
      <c r="A7" s="2" t="s">
        <v>158</v>
      </c>
      <c r="B7" s="2" t="s">
        <v>178</v>
      </c>
      <c r="C7" s="2" t="s">
        <v>179</v>
      </c>
      <c r="D7" s="2" t="s">
        <v>180</v>
      </c>
      <c r="E7" s="2" t="s">
        <v>43</v>
      </c>
    </row>
    <row r="8" spans="1:5" x14ac:dyDescent="0.25">
      <c r="A8" s="2" t="s">
        <v>158</v>
      </c>
      <c r="B8" s="2" t="s">
        <v>181</v>
      </c>
      <c r="C8" s="2" t="s">
        <v>182</v>
      </c>
      <c r="D8" s="2" t="s">
        <v>183</v>
      </c>
      <c r="E8" s="2" t="s">
        <v>169</v>
      </c>
    </row>
    <row r="9" spans="1:5" x14ac:dyDescent="0.25">
      <c r="A9" s="2" t="s">
        <v>158</v>
      </c>
      <c r="B9" s="2" t="s">
        <v>184</v>
      </c>
      <c r="C9" s="2" t="s">
        <v>185</v>
      </c>
      <c r="D9" s="2" t="s">
        <v>186</v>
      </c>
      <c r="E9" s="2" t="s">
        <v>177</v>
      </c>
    </row>
    <row r="10" spans="1:5" ht="30" x14ac:dyDescent="0.25">
      <c r="A10" s="2" t="s">
        <v>187</v>
      </c>
      <c r="B10" s="2" t="s">
        <v>188</v>
      </c>
      <c r="C10" s="2" t="s">
        <v>189</v>
      </c>
      <c r="D10" s="2" t="s">
        <v>190</v>
      </c>
      <c r="E10" s="2" t="s">
        <v>191</v>
      </c>
    </row>
    <row r="11" spans="1:5" x14ac:dyDescent="0.25">
      <c r="A11" s="2" t="s">
        <v>187</v>
      </c>
      <c r="B11" s="2" t="s">
        <v>192</v>
      </c>
      <c r="C11" s="2" t="s">
        <v>193</v>
      </c>
      <c r="D11" s="2" t="s">
        <v>194</v>
      </c>
      <c r="E11" s="2" t="s">
        <v>195</v>
      </c>
    </row>
    <row r="12" spans="1:5" x14ac:dyDescent="0.25">
      <c r="A12" s="2" t="s">
        <v>196</v>
      </c>
      <c r="B12" s="2" t="s">
        <v>313</v>
      </c>
      <c r="C12" s="2" t="s">
        <v>197</v>
      </c>
      <c r="D12" s="2" t="s">
        <v>198</v>
      </c>
      <c r="E12" s="2" t="s">
        <v>111</v>
      </c>
    </row>
    <row r="13" spans="1:5" x14ac:dyDescent="0.25">
      <c r="A13" s="2" t="s">
        <v>196</v>
      </c>
      <c r="B13" s="2" t="s">
        <v>314</v>
      </c>
      <c r="C13" s="2" t="s">
        <v>199</v>
      </c>
      <c r="D13" s="2" t="s">
        <v>200</v>
      </c>
      <c r="E13" s="2" t="s">
        <v>116</v>
      </c>
    </row>
    <row r="14" spans="1:5" x14ac:dyDescent="0.25">
      <c r="A14" s="2" t="s">
        <v>196</v>
      </c>
      <c r="B14" s="5" t="s">
        <v>315</v>
      </c>
      <c r="C14" s="2" t="s">
        <v>201</v>
      </c>
      <c r="D14" s="2" t="s">
        <v>202</v>
      </c>
      <c r="E14" s="2" t="s">
        <v>328</v>
      </c>
    </row>
    <row r="15" spans="1:5" x14ac:dyDescent="0.25">
      <c r="A15" s="2" t="s">
        <v>196</v>
      </c>
      <c r="B15" s="2" t="s">
        <v>331</v>
      </c>
      <c r="C15" s="2" t="s">
        <v>204</v>
      </c>
      <c r="D15" s="2" t="s">
        <v>205</v>
      </c>
      <c r="E15" s="2" t="s">
        <v>120</v>
      </c>
    </row>
    <row r="16" spans="1:5" x14ac:dyDescent="0.25">
      <c r="A16" s="2" t="s">
        <v>196</v>
      </c>
      <c r="B16" s="9">
        <v>12345678</v>
      </c>
      <c r="C16" s="2" t="s">
        <v>206</v>
      </c>
      <c r="D16" s="2" t="s">
        <v>207</v>
      </c>
      <c r="E16" s="2" t="s">
        <v>203</v>
      </c>
    </row>
    <row r="17" spans="1:5" x14ac:dyDescent="0.25">
      <c r="A17" s="2" t="s">
        <v>196</v>
      </c>
      <c r="B17" s="2" t="s">
        <v>316</v>
      </c>
      <c r="C17" s="2" t="s">
        <v>206</v>
      </c>
      <c r="D17" s="2" t="s">
        <v>208</v>
      </c>
      <c r="E17" s="2" t="s">
        <v>124</v>
      </c>
    </row>
    <row r="18" spans="1:5" x14ac:dyDescent="0.25">
      <c r="A18" s="2" t="s">
        <v>196</v>
      </c>
      <c r="B18" s="2" t="s">
        <v>317</v>
      </c>
      <c r="C18" s="2" t="s">
        <v>209</v>
      </c>
      <c r="D18" s="2" t="s">
        <v>210</v>
      </c>
      <c r="E18" s="2" t="s">
        <v>126</v>
      </c>
    </row>
    <row r="19" spans="1:5" x14ac:dyDescent="0.25">
      <c r="A19" s="2" t="s">
        <v>211</v>
      </c>
      <c r="B19" s="2" t="s">
        <v>36</v>
      </c>
      <c r="C19" s="2" t="s">
        <v>212</v>
      </c>
      <c r="D19" s="2" t="s">
        <v>213</v>
      </c>
      <c r="E19" s="2" t="s">
        <v>214</v>
      </c>
    </row>
    <row r="20" spans="1:5" x14ac:dyDescent="0.25">
      <c r="A20" s="2" t="s">
        <v>211</v>
      </c>
      <c r="B20" s="2" t="s">
        <v>215</v>
      </c>
      <c r="C20" s="2" t="s">
        <v>216</v>
      </c>
      <c r="D20" s="2" t="s">
        <v>217</v>
      </c>
      <c r="E20" s="2" t="s">
        <v>173</v>
      </c>
    </row>
  </sheetData>
  <autoFilter ref="A1:E20" xr:uid="{00000000-0009-0000-0000-000002000000}"/>
  <hyperlinks>
    <hyperlink ref="B14" r:id="rId1" xr:uid="{DF07612C-20ED-476B-A742-EB4AEA69C12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9" sqref="A9"/>
    </sheetView>
  </sheetViews>
  <sheetFormatPr defaultRowHeight="15" x14ac:dyDescent="0.25"/>
  <cols>
    <col min="1" max="1" width="30" customWidth="1"/>
    <col min="2" max="2" width="24" customWidth="1"/>
  </cols>
  <sheetData>
    <row r="1" spans="1:2" x14ac:dyDescent="0.25">
      <c r="A1" s="3" t="s">
        <v>218</v>
      </c>
      <c r="B1" s="3" t="s">
        <v>155</v>
      </c>
    </row>
    <row r="2" spans="1:2" x14ac:dyDescent="0.25">
      <c r="A2" t="s">
        <v>219</v>
      </c>
      <c r="B2">
        <f>COUNTA('Casos UI'!A2:A19)</f>
        <v>18</v>
      </c>
    </row>
    <row r="3" spans="1:2" x14ac:dyDescent="0.25">
      <c r="A3" t="s">
        <v>220</v>
      </c>
      <c r="B3">
        <f>COUNTIF('Casos UI'!I2:I19,"Não executado")</f>
        <v>0</v>
      </c>
    </row>
    <row r="4" spans="1:2" x14ac:dyDescent="0.25">
      <c r="A4" t="s">
        <v>221</v>
      </c>
      <c r="B4">
        <f>COUNTIF('Casos UI'!I2:I19,"Passou")</f>
        <v>17</v>
      </c>
    </row>
    <row r="5" spans="1:2" x14ac:dyDescent="0.25">
      <c r="A5" s="10" t="s">
        <v>222</v>
      </c>
      <c r="B5">
        <f>COUNTIF('Casos UI'!I2:I19,"Falhou")</f>
        <v>1</v>
      </c>
    </row>
    <row r="6" spans="1:2" x14ac:dyDescent="0.25">
      <c r="A6" t="s">
        <v>223</v>
      </c>
      <c r="B6">
        <f>COUNTA('Casos API'!A2:A23)</f>
        <v>22</v>
      </c>
    </row>
    <row r="7" spans="1:2" x14ac:dyDescent="0.25">
      <c r="A7" t="s">
        <v>224</v>
      </c>
      <c r="B7">
        <f>COUNTIF('Casos API'!L2:L23,"Não executado")</f>
        <v>0</v>
      </c>
    </row>
    <row r="8" spans="1:2" x14ac:dyDescent="0.25">
      <c r="A8" t="s">
        <v>225</v>
      </c>
      <c r="B8">
        <f>COUNTIF('Casos API'!L2:L23,"Passou")</f>
        <v>21</v>
      </c>
    </row>
    <row r="9" spans="1:2" x14ac:dyDescent="0.25">
      <c r="A9" s="10" t="s">
        <v>226</v>
      </c>
      <c r="B9">
        <f>COUNTIF('Casos API'!L2:L23,"Falhou")</f>
        <v>1</v>
      </c>
    </row>
  </sheetData>
  <hyperlinks>
    <hyperlink ref="A5" location="'BUG REPORT'!A2" display="UI — Falhou" xr:uid="{9BC09314-ED96-481A-8760-6B3D9F3440BC}"/>
    <hyperlink ref="A9" location="'BUG REPORT'!A3" display="API — Falhou" xr:uid="{0FB67E13-2BA2-4909-999C-275C82F4D85F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19" sqref="B19"/>
    </sheetView>
  </sheetViews>
  <sheetFormatPr defaultRowHeight="15" x14ac:dyDescent="0.25"/>
  <cols>
    <col min="1" max="1" width="30" customWidth="1"/>
    <col min="2" max="2" width="80" customWidth="1"/>
  </cols>
  <sheetData>
    <row r="1" spans="1:2" x14ac:dyDescent="0.25">
      <c r="A1" s="1" t="s">
        <v>2</v>
      </c>
      <c r="B1" s="1" t="s">
        <v>157</v>
      </c>
    </row>
    <row r="2" spans="1:2" x14ac:dyDescent="0.25">
      <c r="A2" s="2" t="s">
        <v>11</v>
      </c>
      <c r="B2" s="2" t="s">
        <v>8</v>
      </c>
    </row>
    <row r="3" spans="1:2" x14ac:dyDescent="0.25">
      <c r="A3" s="2" t="s">
        <v>15</v>
      </c>
      <c r="B3" s="2" t="s">
        <v>227</v>
      </c>
    </row>
    <row r="4" spans="1:2" x14ac:dyDescent="0.25">
      <c r="A4" s="2" t="s">
        <v>24</v>
      </c>
      <c r="B4" s="2" t="s">
        <v>21</v>
      </c>
    </row>
    <row r="5" spans="1:2" x14ac:dyDescent="0.25">
      <c r="A5" s="2" t="s">
        <v>28</v>
      </c>
      <c r="B5" s="2" t="s">
        <v>25</v>
      </c>
    </row>
    <row r="6" spans="1:2" x14ac:dyDescent="0.25">
      <c r="A6" s="2" t="s">
        <v>32</v>
      </c>
      <c r="B6" s="2" t="s">
        <v>228</v>
      </c>
    </row>
    <row r="7" spans="1:2" x14ac:dyDescent="0.25">
      <c r="A7" s="2" t="s">
        <v>38</v>
      </c>
      <c r="B7" s="2" t="s">
        <v>35</v>
      </c>
    </row>
    <row r="8" spans="1:2" x14ac:dyDescent="0.25">
      <c r="A8" s="2" t="s">
        <v>41</v>
      </c>
      <c r="B8" s="2" t="s">
        <v>229</v>
      </c>
    </row>
    <row r="9" spans="1:2" x14ac:dyDescent="0.25">
      <c r="A9" s="2" t="s">
        <v>47</v>
      </c>
      <c r="B9" s="2" t="s">
        <v>45</v>
      </c>
    </row>
    <row r="10" spans="1:2" x14ac:dyDescent="0.25">
      <c r="A10" s="2" t="s">
        <v>51</v>
      </c>
      <c r="B10" s="2" t="s">
        <v>48</v>
      </c>
    </row>
    <row r="11" spans="1:2" x14ac:dyDescent="0.25">
      <c r="A11" s="2" t="s">
        <v>54</v>
      </c>
      <c r="B11" s="2" t="s">
        <v>52</v>
      </c>
    </row>
    <row r="12" spans="1:2" x14ac:dyDescent="0.25">
      <c r="A12" s="2" t="s">
        <v>58</v>
      </c>
      <c r="B12" s="2" t="s">
        <v>230</v>
      </c>
    </row>
    <row r="13" spans="1:2" x14ac:dyDescent="0.25">
      <c r="A13" s="2" t="s">
        <v>66</v>
      </c>
      <c r="B13" s="2" t="s">
        <v>63</v>
      </c>
    </row>
    <row r="14" spans="1:2" x14ac:dyDescent="0.25">
      <c r="A14" s="2" t="s">
        <v>72</v>
      </c>
      <c r="B14" s="2" t="s">
        <v>70</v>
      </c>
    </row>
    <row r="15" spans="1:2" x14ac:dyDescent="0.25">
      <c r="A15" s="2" t="s">
        <v>76</v>
      </c>
      <c r="B15" s="2" t="s">
        <v>231</v>
      </c>
    </row>
    <row r="16" spans="1:2" x14ac:dyDescent="0.25">
      <c r="A16" s="2" t="s">
        <v>85</v>
      </c>
      <c r="B16" s="2" t="s">
        <v>232</v>
      </c>
    </row>
    <row r="17" spans="1:2" x14ac:dyDescent="0.25">
      <c r="A17" s="2" t="s">
        <v>114</v>
      </c>
      <c r="B17" s="2" t="s">
        <v>329</v>
      </c>
    </row>
    <row r="18" spans="1:2" x14ac:dyDescent="0.25">
      <c r="A18" s="2" t="s">
        <v>141</v>
      </c>
      <c r="B18" s="2" t="s">
        <v>330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3A4F-65F6-49E8-A879-CE2232515250}">
  <dimension ref="A1:J3"/>
  <sheetViews>
    <sheetView topLeftCell="G1" zoomScale="70" zoomScaleNormal="70" workbookViewId="0">
      <selection activeCell="J3" sqref="J3"/>
    </sheetView>
  </sheetViews>
  <sheetFormatPr defaultRowHeight="15" x14ac:dyDescent="0.25"/>
  <cols>
    <col min="1" max="1" width="87.28515625" bestFit="1" customWidth="1"/>
    <col min="2" max="2" width="127.7109375" bestFit="1" customWidth="1"/>
    <col min="3" max="3" width="12.140625" bestFit="1" customWidth="1"/>
    <col min="4" max="4" width="11.5703125" bestFit="1" customWidth="1"/>
    <col min="5" max="5" width="23.5703125" bestFit="1" customWidth="1"/>
    <col min="6" max="6" width="45.42578125" bestFit="1" customWidth="1"/>
    <col min="7" max="7" width="29.140625" bestFit="1" customWidth="1"/>
    <col min="8" max="8" width="74.140625" bestFit="1" customWidth="1"/>
    <col min="9" max="9" width="131.5703125" bestFit="1" customWidth="1"/>
    <col min="10" max="10" width="107.7109375" bestFit="1" customWidth="1"/>
  </cols>
  <sheetData>
    <row r="1" spans="1:10" x14ac:dyDescent="0.25">
      <c r="A1" t="s">
        <v>332</v>
      </c>
      <c r="B1" t="s">
        <v>333</v>
      </c>
      <c r="C1" t="s">
        <v>350</v>
      </c>
      <c r="D1" t="s">
        <v>3</v>
      </c>
      <c r="E1" t="s">
        <v>334</v>
      </c>
      <c r="F1" t="s">
        <v>236</v>
      </c>
      <c r="G1" t="s">
        <v>335</v>
      </c>
      <c r="H1" t="s">
        <v>336</v>
      </c>
      <c r="I1" t="s">
        <v>337</v>
      </c>
      <c r="J1" t="s">
        <v>353</v>
      </c>
    </row>
    <row r="2" spans="1:10" ht="207" customHeight="1" x14ac:dyDescent="0.25">
      <c r="A2" t="s">
        <v>343</v>
      </c>
      <c r="B2" t="s">
        <v>338</v>
      </c>
      <c r="C2" t="s">
        <v>12</v>
      </c>
      <c r="D2" t="s">
        <v>42</v>
      </c>
      <c r="E2" s="8" t="s">
        <v>339</v>
      </c>
      <c r="F2" s="10" t="s">
        <v>342</v>
      </c>
      <c r="G2" t="s">
        <v>340</v>
      </c>
      <c r="H2" t="s">
        <v>341</v>
      </c>
      <c r="I2" t="s">
        <v>368</v>
      </c>
      <c r="J2" t="s">
        <v>370</v>
      </c>
    </row>
    <row r="3" spans="1:10" ht="180.75" x14ac:dyDescent="0.3">
      <c r="A3" t="s">
        <v>344</v>
      </c>
      <c r="B3" s="8" t="s">
        <v>345</v>
      </c>
      <c r="C3" s="8" t="s">
        <v>12</v>
      </c>
      <c r="D3" s="8" t="s">
        <v>12</v>
      </c>
      <c r="E3" s="8" t="s">
        <v>346</v>
      </c>
      <c r="F3" s="10" t="s">
        <v>347</v>
      </c>
      <c r="G3" t="s">
        <v>348</v>
      </c>
      <c r="H3" s="10" t="s">
        <v>349</v>
      </c>
      <c r="I3" t="s">
        <v>369</v>
      </c>
      <c r="J3" t="s">
        <v>371</v>
      </c>
    </row>
  </sheetData>
  <hyperlinks>
    <hyperlink ref="F2" r:id="rId1" xr:uid="{43C3DF2F-69F2-4FF5-8182-6D4F43AC14FF}"/>
    <hyperlink ref="F3" r:id="rId2" xr:uid="{3CF88411-6D0D-40C1-B2BB-5726982DEBA1}"/>
    <hyperlink ref="H3" r:id="rId3" display="https://app.screencast.com/nnbkJNq2WYJsT" xr:uid="{52E7D32F-0DB9-41F9-8AA8-13116EF31983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Casos UI</vt:lpstr>
      <vt:lpstr>Casos API</vt:lpstr>
      <vt:lpstr>Dados de Teste</vt:lpstr>
      <vt:lpstr>Resumo</vt:lpstr>
      <vt:lpstr>Rastreabilidade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HIGOR</cp:lastModifiedBy>
  <dcterms:created xsi:type="dcterms:W3CDTF">2026-10-07T15:22:11Z</dcterms:created>
  <dcterms:modified xsi:type="dcterms:W3CDTF">2026-10-22T16:42:09Z</dcterms:modified>
</cp:coreProperties>
</file>